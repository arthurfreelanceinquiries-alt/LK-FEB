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 BEM FEB UKRIDA 26" sheetId="1" r:id="rId5"/>
    <sheet state="visible" name="Timeline 2" sheetId="2" r:id="rId6"/>
    <sheet state="visible" name="Jadwal Kelas" sheetId="3" r:id="rId7"/>
    <sheet state="visible" name="KEUANGAN BEM FEB " sheetId="4" r:id="rId8"/>
    <sheet state="visible" name="BAGAN STRUKTUR KEPENGURUSAN BEM" sheetId="5" r:id="rId9"/>
    <sheet state="visible" name="ANGGOTA PENGURUS BEM FEB" sheetId="6" r:id="rId10"/>
    <sheet state="visible" name="Target media partner" sheetId="7" r:id="rId11"/>
    <sheet state="visible" name="Target Sponsor" sheetId="8" r:id="rId12"/>
  </sheets>
  <definedNames/>
  <calcPr/>
</workbook>
</file>

<file path=xl/sharedStrings.xml><?xml version="1.0" encoding="utf-8"?>
<sst xmlns="http://schemas.openxmlformats.org/spreadsheetml/2006/main" count="1016" uniqueCount="635">
  <si>
    <t>SENIN</t>
  </si>
  <si>
    <t>SELASA</t>
  </si>
  <si>
    <t>RABU</t>
  </si>
  <si>
    <t>KAMIS</t>
  </si>
  <si>
    <t>JUMAT</t>
  </si>
  <si>
    <t>SABTU</t>
  </si>
  <si>
    <t>08:00- 10:30</t>
  </si>
  <si>
    <t>10:45 - 13:15</t>
  </si>
  <si>
    <t>13:30 - 16:00</t>
  </si>
  <si>
    <t>17:00 - 19:30</t>
  </si>
  <si>
    <t>19:30 - 22:00</t>
  </si>
  <si>
    <t>BEM FEB UKRIDA 26/27</t>
  </si>
  <si>
    <t xml:space="preserve">BEM FEB 2026 </t>
  </si>
  <si>
    <t xml:space="preserve">KETUA BEM </t>
  </si>
  <si>
    <t>Arthur Reezan</t>
  </si>
  <si>
    <t xml:space="preserve">WAKIL KETUA BEM </t>
  </si>
  <si>
    <t xml:space="preserve">Princess Auralia Barus </t>
  </si>
  <si>
    <t>PROJECT TITLE</t>
  </si>
  <si>
    <t xml:space="preserve">SEKRETARIS </t>
  </si>
  <si>
    <t xml:space="preserve">BENDAHARA </t>
  </si>
  <si>
    <t xml:space="preserve">Rachel Angelina Tjahja </t>
  </si>
  <si>
    <t>COMPANY NAME</t>
  </si>
  <si>
    <t xml:space="preserve">Jemima Putri Sutanta </t>
  </si>
  <si>
    <t xml:space="preserve">BEM FEB UKRIDA </t>
  </si>
  <si>
    <t xml:space="preserve">PUBLIC AFFAIRS </t>
  </si>
  <si>
    <t xml:space="preserve">BUSINESS DEVELOPMENT </t>
  </si>
  <si>
    <t>Nama Lengkap</t>
  </si>
  <si>
    <t>PROJECT MANAGER</t>
  </si>
  <si>
    <t>Proker Hari H</t>
  </si>
  <si>
    <t>DATE</t>
  </si>
  <si>
    <t xml:space="preserve">KOORDINATOR </t>
  </si>
  <si>
    <t xml:space="preserve">Anak acara terdri dari event dan BD (atau anak dari divisi lain yang tidak digunakan) 
</t>
  </si>
  <si>
    <t>Mei 26</t>
  </si>
  <si>
    <t xml:space="preserve">Joseph Jeffry Hidayat </t>
  </si>
  <si>
    <t>Juni 26</t>
  </si>
  <si>
    <t xml:space="preserve">Elisabeth Tallita Violin </t>
  </si>
  <si>
    <t>Juli 26</t>
  </si>
  <si>
    <t>CO - MANAGER</t>
  </si>
  <si>
    <t>Agustus 26</t>
  </si>
  <si>
    <t>Princess Auralia Barus</t>
  </si>
  <si>
    <t xml:space="preserve"> Anak acara terdiri atas </t>
  </si>
  <si>
    <t>1 perkap</t>
  </si>
  <si>
    <t>September 26</t>
  </si>
  <si>
    <t>Volunteer</t>
  </si>
  <si>
    <t xml:space="preserve"> </t>
  </si>
  <si>
    <t>Oktober 26</t>
  </si>
  <si>
    <t>2 Koor games</t>
  </si>
  <si>
    <t>November 26</t>
  </si>
  <si>
    <t xml:space="preserve">HUMAN RESOURCE </t>
  </si>
  <si>
    <t>Desember 26</t>
  </si>
  <si>
    <t>Januari</t>
  </si>
  <si>
    <t xml:space="preserve">LIAISON OFFICER </t>
  </si>
  <si>
    <t>Februari</t>
  </si>
  <si>
    <t xml:space="preserve">ADMIN </t>
  </si>
  <si>
    <t>Column 1</t>
  </si>
  <si>
    <t>Column 2</t>
  </si>
  <si>
    <t>SALES</t>
  </si>
  <si>
    <t>Belum bsysr</t>
  </si>
  <si>
    <t>PRODUCT DEVELOPMENT</t>
  </si>
  <si>
    <t>Column 4</t>
  </si>
  <si>
    <t>3 Panitia Games</t>
  </si>
  <si>
    <t>HMJ/ Volunteer</t>
  </si>
  <si>
    <t>Jessica Violant Nathaniel</t>
  </si>
  <si>
    <t>No</t>
  </si>
  <si>
    <t>Joseph Jeffry Hidayat</t>
  </si>
  <si>
    <t>TASK TITLE</t>
  </si>
  <si>
    <t>TASK OWNER</t>
  </si>
  <si>
    <t>START DATE</t>
  </si>
  <si>
    <t>DUE DATE</t>
  </si>
  <si>
    <t>DURATION</t>
  </si>
  <si>
    <t>STATUS</t>
  </si>
  <si>
    <t>JOBS COMPONENT</t>
  </si>
  <si>
    <t>Terrence Dennerly</t>
  </si>
  <si>
    <t>FILE</t>
  </si>
  <si>
    <t>KETERANGAN</t>
  </si>
  <si>
    <t>PHASE ONE</t>
  </si>
  <si>
    <t xml:space="preserve">Juan Louis </t>
  </si>
  <si>
    <t>4 MC</t>
  </si>
  <si>
    <t>Josia Afrianto</t>
  </si>
  <si>
    <t>PHASE TWO</t>
  </si>
  <si>
    <t>PHASE THREE</t>
  </si>
  <si>
    <t>PHASE FOUR</t>
  </si>
  <si>
    <t>Vanessa Mariana Soepriadi</t>
  </si>
  <si>
    <t>Hari</t>
  </si>
  <si>
    <t>yang tidak bisa datang</t>
  </si>
  <si>
    <t>WEEK 1</t>
  </si>
  <si>
    <t xml:space="preserve">Selasa </t>
  </si>
  <si>
    <t>Anak Humas</t>
  </si>
  <si>
    <t>1. Konsumsi</t>
  </si>
  <si>
    <t>PUBLICATION AND DESIGN</t>
  </si>
  <si>
    <t>WEEK 2</t>
  </si>
  <si>
    <t>EVENT</t>
  </si>
  <si>
    <t>2. p3k (TBM)</t>
  </si>
  <si>
    <t>WEEK 3</t>
  </si>
  <si>
    <t>Rabu</t>
  </si>
  <si>
    <t>WEEK 4</t>
  </si>
  <si>
    <t>WEEK 5</t>
  </si>
  <si>
    <t>WEEK 6</t>
  </si>
  <si>
    <t>WEEK 7</t>
  </si>
  <si>
    <t>Kamis</t>
  </si>
  <si>
    <t>WEEK 8</t>
  </si>
  <si>
    <t xml:space="preserve">PROJECT MANAJER </t>
  </si>
  <si>
    <t>WEEK 9</t>
  </si>
  <si>
    <t>Jumat</t>
  </si>
  <si>
    <t xml:space="preserve">3. Registrasi Pendaftaran </t>
  </si>
  <si>
    <t>Jessy</t>
  </si>
  <si>
    <t>WEEK 10</t>
  </si>
  <si>
    <t xml:space="preserve">A una </t>
  </si>
  <si>
    <t xml:space="preserve">Felicia Florens </t>
  </si>
  <si>
    <t>WEEK 11</t>
  </si>
  <si>
    <t>Pubdoc</t>
  </si>
  <si>
    <t>WEEK 12</t>
  </si>
  <si>
    <t xml:space="preserve">1. Dokumentasi </t>
  </si>
  <si>
    <t>DESIGN</t>
  </si>
  <si>
    <t xml:space="preserve">MARKETING </t>
  </si>
  <si>
    <t>M</t>
  </si>
  <si>
    <t xml:space="preserve">CONTENT PLANNER </t>
  </si>
  <si>
    <t xml:space="preserve">EVENT ORGANIZER </t>
  </si>
  <si>
    <t>T</t>
  </si>
  <si>
    <t>W</t>
  </si>
  <si>
    <t>R</t>
  </si>
  <si>
    <t>F</t>
  </si>
  <si>
    <t>a, kamera Pubdoc</t>
  </si>
  <si>
    <t xml:space="preserve">Aurelia Jocelyn </t>
  </si>
  <si>
    <t>Gracia Keisha Adelline</t>
  </si>
  <si>
    <t xml:space="preserve">Ezequiella Omasido Siahaan </t>
  </si>
  <si>
    <t xml:space="preserve">Kayla Nathania Haryanto Putri </t>
  </si>
  <si>
    <t>b HP live Pubdoc</t>
  </si>
  <si>
    <t>Jericco Wijaya</t>
  </si>
  <si>
    <t>c. Operator (Bisa dari mana aja)</t>
  </si>
  <si>
    <t>Jonathan Wibowo</t>
  </si>
  <si>
    <t>Ketupel (diajarin ketua dan wakil)</t>
  </si>
  <si>
    <t>acara</t>
  </si>
  <si>
    <t>dimanapun bph berada, posisi posisi ini akan bertanya ke bph yang bersangkurtan</t>
  </si>
  <si>
    <t>PROKER UMUM</t>
  </si>
  <si>
    <t>Waketupel (diajarin ketua dan wakil)</t>
  </si>
  <si>
    <t>Divisi open</t>
  </si>
  <si>
    <t>Sekre Proker (diajarin Sekre (Rachel))</t>
  </si>
  <si>
    <t>Humas</t>
  </si>
  <si>
    <t>Bendahara Proker (diajarin Bendahara (jema)</t>
  </si>
  <si>
    <t>BD</t>
  </si>
  <si>
    <t>BEM FEB X BEM FTC X Tony Wenas</t>
  </si>
  <si>
    <t>Princess, Jemima, Arthur, Rachel</t>
  </si>
  <si>
    <t>Completed</t>
  </si>
  <si>
    <t xml:space="preserve">Elisabeth Talita Violin </t>
  </si>
  <si>
    <t>Project Management</t>
  </si>
  <si>
    <t>Berhasil</t>
  </si>
  <si>
    <t>Josia Arfianto</t>
  </si>
  <si>
    <t>PPK ORMAWA BEM FEB UKRIDA 26/27</t>
  </si>
  <si>
    <t>Arthur</t>
  </si>
  <si>
    <t>OFF TRACK</t>
  </si>
  <si>
    <t>Gagal diterima PPK ORMAWA, dilanjutkan dengan dana sponsor (masih dicari)</t>
  </si>
  <si>
    <t>Oprec dan Interview BEM FEB UKRIDA 26/27</t>
  </si>
  <si>
    <t>Princess, Jemima, Arthur, Rachel, Elisabeth Talita Violin , Josia Arfianto, Joseph Jeffry Hidayat</t>
  </si>
  <si>
    <t>On progress</t>
  </si>
  <si>
    <t>Administration</t>
  </si>
  <si>
    <t>BEM FEB UKRIDA goes to school (Land Of Lord)</t>
  </si>
  <si>
    <t>Princess, Jemima, Arthur</t>
  </si>
  <si>
    <t xml:space="preserve">Data Sekolah Untuk Kegiatan HSGT BEM FEB x UKM ESPORTS.xlsx HSGT BEM FEB UKM ESPORTS </t>
  </si>
  <si>
    <t xml:space="preserve">LKMM 2 </t>
  </si>
  <si>
    <t>Elisabeth Talita Violin, Rachel, Jemima</t>
  </si>
  <si>
    <t>LKMM II BEM FEB 2026</t>
  </si>
  <si>
    <t>Kayla Nathania Haryanto Putri</t>
  </si>
  <si>
    <t>PKKMB FEB 2026/2027</t>
  </si>
  <si>
    <t>Josia Arfianto, Juan Louis, Elisabeth Talita Violin, A una</t>
  </si>
  <si>
    <t>Not Started</t>
  </si>
  <si>
    <t>PKKMB FEB 2026/2027 PKKMB BEM FEB 2026</t>
  </si>
  <si>
    <t>HSGT 10.0 (armageddon)</t>
  </si>
  <si>
    <t>Joseph Jeffry Hidayat , Rachel, Jemima, A una</t>
  </si>
  <si>
    <t xml:space="preserve">Economic day </t>
  </si>
  <si>
    <t>Terrence Dennerly, Jessica Violant Nathaniel, Princess, Fellicia Florens</t>
  </si>
  <si>
    <t>Fellicia Florens</t>
  </si>
  <si>
    <t>Economic Day 2026</t>
  </si>
  <si>
    <t>PODCAST BEM FEB</t>
  </si>
  <si>
    <t xml:space="preserve">Jonathan wibowo </t>
  </si>
  <si>
    <t>BEM FEB X OPTIK MELAWAI</t>
  </si>
  <si>
    <t>Fellicia Florens, Vanessa Mariana Soepriadi, Jessica Violant Nathaniel</t>
  </si>
  <si>
    <t>BEM FEB X Optik Melawai</t>
  </si>
  <si>
    <t>Anggaran Proker FEB 2026</t>
  </si>
  <si>
    <t>Jemima</t>
  </si>
  <si>
    <t>Jadwal Rapat</t>
  </si>
  <si>
    <t>Rapat dengan BEM Psikologi</t>
  </si>
  <si>
    <t>Princess, Arthur</t>
  </si>
  <si>
    <t>Relations/Sponsors</t>
  </si>
  <si>
    <t>Rapat KUKM BEM U dan BPM</t>
  </si>
  <si>
    <t>Rapat dengan UKM ESPORTS</t>
  </si>
  <si>
    <t>Princess, Arthur, Joseph Jeffry Hidayat</t>
  </si>
  <si>
    <t>Rapat Perdana dengan Optik Melawai</t>
  </si>
  <si>
    <t>Rapat dengan KSPM (Ibu Leny Aprianti)</t>
  </si>
  <si>
    <t>Belum ada Kesimpulan</t>
  </si>
  <si>
    <t>Rapat dengan FTC, FPSI, FKIK, BEM U, FISH</t>
  </si>
  <si>
    <t>Jericco wijaya</t>
  </si>
  <si>
    <t>Arthur, Princess</t>
  </si>
  <si>
    <t>BPH (Arthur, Princess, Jemima, Rachel)</t>
  </si>
  <si>
    <t>Follow UP baju LK</t>
  </si>
  <si>
    <t>Logistic</t>
  </si>
  <si>
    <t>Aurelia Jocelyn Andika</t>
  </si>
  <si>
    <t xml:space="preserve">membuat konsep isi acara, membuat rundown goes to school </t>
  </si>
  <si>
    <t>Reminder yang belum isi data kepengurusan</t>
  </si>
  <si>
    <t>Arthur, Rachel, Princess</t>
  </si>
  <si>
    <t>-</t>
  </si>
  <si>
    <t>Reminder Proposal HSGT</t>
  </si>
  <si>
    <t>Reminder Bayar Kas</t>
  </si>
  <si>
    <t>Juan Louis</t>
  </si>
  <si>
    <t>koor acara membuat rundown untuk hari H + menentukan picgames dan mc untuk hari H hsgt (anggota acara)</t>
  </si>
  <si>
    <t>Nama</t>
  </si>
  <si>
    <t>NIM</t>
  </si>
  <si>
    <t xml:space="preserve">G Mail utama </t>
  </si>
  <si>
    <t>mc hari H (september)</t>
  </si>
  <si>
    <t>Ulang Tahun</t>
  </si>
  <si>
    <t>Alamat</t>
  </si>
  <si>
    <t>No rek</t>
  </si>
  <si>
    <t>A una</t>
  </si>
  <si>
    <t>Foto Formal (Kemeja Putih + Almamater + KTM)</t>
  </si>
  <si>
    <t>Foto Warna Bebas per Divisi (ga formal)</t>
  </si>
  <si>
    <t>Jurusan (Tahun Jurusan)</t>
  </si>
  <si>
    <t xml:space="preserve">Jabatan </t>
  </si>
  <si>
    <t>ziarssssavantris@gmail.com</t>
  </si>
  <si>
    <t>Duta Bandara Permai Gs 1 no !6</t>
  </si>
  <si>
    <t>Manajemen (23)</t>
  </si>
  <si>
    <t>ACARA (A una, Felicia Florence)</t>
  </si>
  <si>
    <t>Event Organizer</t>
  </si>
  <si>
    <t>Ketua</t>
  </si>
  <si>
    <t>Mempersiapkan Tim untuk BEM FEB X OPTIK MELAWAI</t>
  </si>
  <si>
    <t>Mengukur dan Membuat isi Denah Junction dan Auditorium Kampus 1</t>
  </si>
  <si>
    <t>Fellicia Florens, A una</t>
  </si>
  <si>
    <t>Grup WA untuk Optik melawai</t>
  </si>
  <si>
    <t>Jalan At taqwa Utama No.3A, RT06/008, Kembangan Utara, Kembangan, Jakarta Barat</t>
  </si>
  <si>
    <t xml:space="preserve">FIle Spreadsheet untuk proker </t>
  </si>
  <si>
    <t>Akuntansi (24)</t>
  </si>
  <si>
    <t>Wakil Ketua</t>
  </si>
  <si>
    <t>FALSE</t>
  </si>
  <si>
    <t>HUMAS (Joseph)</t>
  </si>
  <si>
    <t xml:space="preserve">Jl. Kampung Irian 1 GG 2 no 2a, RT 012, RW 006, Serdang, Kemayoran, Jakarta Pusat </t>
  </si>
  <si>
    <t>membuat isi proposal sponsor</t>
  </si>
  <si>
    <t>8700346359 bca a/n Rachel Angelina Tjahja</t>
  </si>
  <si>
    <t>Membuat isi PPT Sponsor</t>
  </si>
  <si>
    <t xml:space="preserve">Sekretaris </t>
  </si>
  <si>
    <t>Mencari PT sponsor setahun BEM FEB</t>
  </si>
  <si>
    <t>Mencari Media Partner setahun BEM FEB</t>
  </si>
  <si>
    <t>Nomor darurat Pengurus BEM FEB 2026</t>
  </si>
  <si>
    <t>ALL MEMBER HUMAS</t>
  </si>
  <si>
    <t>Jl Spoor 4 dalam no 26</t>
  </si>
  <si>
    <t>BD (Elisabeth)</t>
  </si>
  <si>
    <t>Bukti Pembayaran</t>
  </si>
  <si>
    <t xml:space="preserve">Bendahara </t>
  </si>
  <si>
    <t>Bukti pembayaran</t>
  </si>
  <si>
    <t>File Data penjualan</t>
  </si>
  <si>
    <t>ALL MEMBER BD</t>
  </si>
  <si>
    <t>PEJUANG RUPIAH</t>
  </si>
  <si>
    <t>elisabeth.322024014@civitas.ukrida.ac.id</t>
  </si>
  <si>
    <t>Jalan Hadiah 1 No 11 A, Jelambar, Grogol Petamburan, Jakarta Barat</t>
  </si>
  <si>
    <t>???</t>
  </si>
  <si>
    <t>001835348386 - Elisabeth Talita Violin (Blu BCA)</t>
  </si>
  <si>
    <t>https://drive.google.com/open?id=1MU5XZkhdd5xhMUrKwpHlMMiAh0C18TlK</t>
  </si>
  <si>
    <t>PUBDOC (Jessy)</t>
  </si>
  <si>
    <t>Koor BD</t>
  </si>
  <si>
    <t>Design latar feeds</t>
  </si>
  <si>
    <t>https://canva.link/jnkq2yq7lowlfna</t>
  </si>
  <si>
    <t>Kampung Utan Bahagia No.8, RT/RW 12/04, Jakarta Barat, Cengkareng Timur.</t>
  </si>
  <si>
    <t>Anggota Humas</t>
  </si>
  <si>
    <t>Design Ulang tahun anggota bem</t>
  </si>
  <si>
    <t>IG Stories</t>
  </si>
  <si>
    <t>https://canva.link/sdb3u98ocq6weqx</t>
  </si>
  <si>
    <t>pejagalan, pejaringan,telukgong cenang 10</t>
  </si>
  <si>
    <t xml:space="preserve">Perkenalan Anggota BEM FEB </t>
  </si>
  <si>
    <t>All Member</t>
  </si>
  <si>
    <t>IG Feeds, IG Stories, IG Reels, Tiktok</t>
  </si>
  <si>
    <t>Manajemen (24)</t>
  </si>
  <si>
    <t>Koor Humas</t>
  </si>
  <si>
    <r>
      <rPr>
        <rFont val="Roboto"/>
        <color rgb="FF434343"/>
        <sz val="10.0"/>
        <u/>
      </rPr>
      <t>https://canva.link/gwui4i6f3xv5feq</t>
    </r>
    <r>
      <rPr>
        <rFont val="Roboto"/>
        <color rgb="FF1F1F1F"/>
        <sz val="10.0"/>
      </rPr>
      <t xml:space="preserve">                              </t>
    </r>
    <r>
      <rPr>
        <rFont val="Roboto"/>
        <color rgb="FF1155CC"/>
        <sz val="10.0"/>
        <u/>
      </rPr>
      <t>https://canva.link/z0egcmj5ut14k5x</t>
    </r>
  </si>
  <si>
    <t>Hari Kenaikan Tuhan Yesus</t>
  </si>
  <si>
    <t>Aurel, Gracia</t>
  </si>
  <si>
    <t>IG Feeds, IG Stories</t>
  </si>
  <si>
    <t>https://canva.link/1m7qa7456deynwe</t>
  </si>
  <si>
    <t>terrencedennerly685@gmail.com</t>
  </si>
  <si>
    <t>jalan taman delima 1 no. 6B, tanjung duren selatan</t>
  </si>
  <si>
    <t>konten seputar BEM</t>
  </si>
  <si>
    <t>Ezequiella, Gracia</t>
  </si>
  <si>
    <t>https://drive.google.com/open?id=1h4feiy_yHb3QsF6zrHMxu8yPevAKdH_3</t>
  </si>
  <si>
    <t>IG Stories, IG Reels, Tiktok</t>
  </si>
  <si>
    <t>Hari Raya Idul Adha 1147 H</t>
  </si>
  <si>
    <t>https://drive.google.com/open?id=1ce_WeR_iQnU4ljwiDmOO_SYGDBcD8gv6</t>
  </si>
  <si>
    <t xml:space="preserve"> https://canva.link/tvi5or9qi6dv3qd</t>
  </si>
  <si>
    <t>Anggota BD</t>
  </si>
  <si>
    <t>Hari Raya Waisak</t>
  </si>
  <si>
    <t>https://canva.link/wdnsdrs9wft6tgv</t>
  </si>
  <si>
    <t>kayla.322025055@civitas.ukrida.ac.id</t>
  </si>
  <si>
    <t>Hari Lahir Pancasila</t>
  </si>
  <si>
    <t>Citra 2 Ext Kalideres, Jakarta Barat</t>
  </si>
  <si>
    <t>https://drive.google.com/open?id=1QnrW64Iu94dBgNNQe0L1cpV-TRgG24Wl</t>
  </si>
  <si>
    <t>https://canva.link/ycgs50ymur5ed5l</t>
  </si>
  <si>
    <t>https://drive.google.com/open?id=1YHoO25Xr4rqxUTjNsmtCyjK3z9n3OQFm</t>
  </si>
  <si>
    <t>Akuntansi (25)</t>
  </si>
  <si>
    <t>Anggota Acara</t>
  </si>
  <si>
    <t>vm9304998@gmail.com</t>
  </si>
  <si>
    <t>Apartemen The Mansion Bougenville, Lobby Emerald</t>
  </si>
  <si>
    <t>https://drive.google.com/open?id=1ky3c3UUS8we8F6qRPG3Hq3hGo5AUTinL</t>
  </si>
  <si>
    <t>https://drive.google.com/open?id=1iFFx0rMF2gApY-QOIIi0hCpUIceqYmgQ</t>
  </si>
  <si>
    <t>Hari Tahun Baru Islam 1448 H</t>
  </si>
  <si>
    <t>fellicia.florens@gmail.com</t>
  </si>
  <si>
    <t>Pesaki Tower 1 Lantai 4 No.7</t>
  </si>
  <si>
    <t>https://drive.google.com/open?id=1bMvkozHt8G5GNFXLZ-L3zux50upwjU0H</t>
  </si>
  <si>
    <t>https://drive.google.com/open?id=1DAnHN83QkhOcGppRKoVCTKYyM0EYf2wY</t>
  </si>
  <si>
    <t>Koor Acara</t>
  </si>
  <si>
    <t>Mengisi TOR PODCAST</t>
  </si>
  <si>
    <t>jonathan.312025040@civitas.ukrida.ac.id</t>
  </si>
  <si>
    <t>jalan pelopor, blok o2 nomor 15B</t>
  </si>
  <si>
    <t>https://drive.google.com/open?id=1kvkDE_BjpyvNY8EDylOUpG_jiTJOkYRa</t>
  </si>
  <si>
    <t>https://drive.google.com/open?id=1AR4Jugzkv2VV7wXN-ssj3mW83a1PQeKD</t>
  </si>
  <si>
    <t>Manajemen (25)</t>
  </si>
  <si>
    <t>jessica.322025010@civitas.ukrida.ac.id</t>
  </si>
  <si>
    <t>Tangerang Selatan</t>
  </si>
  <si>
    <t>https://drive.google.com/open?id=15gR4Bo_w5YTwTJWMsaiIIlc7ECsAhJ45</t>
  </si>
  <si>
    <t>https://drive.google.com/open?id=1OxGy6h-9CSR74BfY2rlHfqs7xhoCamsG</t>
  </si>
  <si>
    <t>graciaaten@gmail.com</t>
  </si>
  <si>
    <t>Target Media Partner</t>
  </si>
  <si>
    <t xml:space="preserve">Jalan Haji nimun IV No 71 A, Cengkareng </t>
  </si>
  <si>
    <t>BCA 806-0218-405 a/n Gracia Keisha Adelline</t>
  </si>
  <si>
    <t>Telp</t>
  </si>
  <si>
    <t>https://drive.google.com/open?id=172cVJvtUqhWYJuMsHzdUKpgc8aGF11XD</t>
  </si>
  <si>
    <t>Email</t>
  </si>
  <si>
    <t>Tanggal</t>
  </si>
  <si>
    <t>Respon</t>
  </si>
  <si>
    <t>Tanggal Follow Up</t>
  </si>
  <si>
    <t>Keterangan</t>
  </si>
  <si>
    <t>Indoesports</t>
  </si>
  <si>
    <t>ask@indoesports.com</t>
  </si>
  <si>
    <t>11 Mei 2022</t>
  </si>
  <si>
    <t xml:space="preserve">Sudah ada respon </t>
  </si>
  <si>
    <t>20 Mei 2022</t>
  </si>
  <si>
    <t>Media partner dengan ketentuan terlampir pada link gdocs dibawah.</t>
  </si>
  <si>
    <t>https://drive.google.com/open?id=1_zdkKBBEh5QfUtjixRYLlTup5YkdMlwB</t>
  </si>
  <si>
    <t>Revival tv</t>
  </si>
  <si>
    <t>senz@revivaltv.id</t>
  </si>
  <si>
    <t>Belum ada respon</t>
  </si>
  <si>
    <t>Suara.com</t>
  </si>
  <si>
    <t>Anggota Pubdoc</t>
  </si>
  <si>
    <t>021-50101239</t>
  </si>
  <si>
    <t>redaksi@suara.com</t>
  </si>
  <si>
    <t>12 Mei 2022</t>
  </si>
  <si>
    <t>Mediaini.com</t>
  </si>
  <si>
    <t>089505076600 / 081901111011</t>
  </si>
  <si>
    <t>hello@mediaini.com</t>
  </si>
  <si>
    <t>23 Mei 2022</t>
  </si>
  <si>
    <t>Sedang diajukan ke pimpinan</t>
  </si>
  <si>
    <t>Dunia games</t>
  </si>
  <si>
    <t>leagueops@duniagames.co.id</t>
  </si>
  <si>
    <t>(masih dalam proses follow up dengan email yang berbeda)</t>
  </si>
  <si>
    <t>quiella.07@gmail.com</t>
  </si>
  <si>
    <t>One esports</t>
  </si>
  <si>
    <t>indonesia@oneesports.gg</t>
  </si>
  <si>
    <t>Apt. Puri Parkview, Jl. Pesanggrahan, Meruya Utara, Kembangan, Jakarta Barat</t>
  </si>
  <si>
    <t>Esports.id</t>
  </si>
  <si>
    <t>https://drive.google.com/open?id=1E19TBLRjtCKui6sM7khEnsci2hAQEBer</t>
  </si>
  <si>
    <t>info@esports.id</t>
  </si>
  <si>
    <t>https://drive.google.com/open?id=16rwVXEoKDp3qq3XV3ZMP7e2EFrdxVtWL</t>
  </si>
  <si>
    <t>Jurnal Apps</t>
  </si>
  <si>
    <t>021-57853978</t>
  </si>
  <si>
    <t>redaksi@jurnalapps.co.id</t>
  </si>
  <si>
    <t>13 Mei 2022</t>
  </si>
  <si>
    <t>29 Mei 2022</t>
  </si>
  <si>
    <t>Esportnesia</t>
  </si>
  <si>
    <t>IG @esportsnesia.id</t>
  </si>
  <si>
    <t>16 Mei 2022</t>
  </si>
  <si>
    <t>Memerlukan KTP</t>
  </si>
  <si>
    <t>Liga Game Esports Indonesia</t>
  </si>
  <si>
    <t>marketing@ligagame.tv</t>
  </si>
  <si>
    <t>InfoLomba</t>
  </si>
  <si>
    <t>Infolomba.mhs</t>
  </si>
  <si>
    <t>InfoEvent</t>
  </si>
  <si>
    <t>Info.lomba</t>
  </si>
  <si>
    <t>infolomba4@gmail.com</t>
  </si>
  <si>
    <t>21 Mei 2022</t>
  </si>
  <si>
    <t>Esportsku</t>
  </si>
  <si>
    <t>087872227060 / 0218573166</t>
  </si>
  <si>
    <t>help@esportsku.com / ajiewicaksonokeren@gmail.com</t>
  </si>
  <si>
    <t>Event Jakarta</t>
  </si>
  <si>
    <t>redaksi@eventjakarta.com</t>
  </si>
  <si>
    <t>Informasi_Event</t>
  </si>
  <si>
    <t>Vidio.com</t>
  </si>
  <si>
    <t>partner@vidio.com</t>
  </si>
  <si>
    <t>wijayajericco@gmail.com</t>
  </si>
  <si>
    <t>Apt permata surya 1 blok A</t>
  </si>
  <si>
    <t xml:space="preserve">Informasi terkait Free Partnership (IG) </t>
  </si>
  <si>
    <t>https://drive.google.com/open?id=1x487CpAtdm8Dnqe_Sw9L9QiwmXwyv4Zv</t>
  </si>
  <si>
    <t>https://docs.google.com/document/d/18rFwzy66MWdAyMqdIgALmiODIUp0qZYsIfUClw58BYI/edit?usp=sharing</t>
  </si>
  <si>
    <t>https://drive.google.com/open?id=1_jkOo4BFHL7DkVzz2L9vZnHJXbR51N2K</t>
  </si>
  <si>
    <t>aurelia.322025032@civitas.ukrida.ac.id</t>
  </si>
  <si>
    <t>Perumahan Griya Permata blok C1/39 Petir, Cipondoh, Tangerang</t>
  </si>
  <si>
    <t>https://drive.google.com/open?id=1ANWNK2BWOXiKYAsN_P0aOEmuE4aY7j6G</t>
  </si>
  <si>
    <t>https://drive.google.com/open?id=15oMD7BdAAlJr8FIhgyxFk-SpxCYcX4a9</t>
  </si>
  <si>
    <t>juanlouis910@gmail.com</t>
  </si>
  <si>
    <t>jln. cendrawasih 2 cengkareng barat, jakarta barat</t>
  </si>
  <si>
    <t>https://drive.google.com/open?id=1kD9IvckeBUF_aWgdj2xS7MGEr27UHdMT</t>
  </si>
  <si>
    <t>https://drive.google.com/open?id=1GAc7K0M8tAeRI493_mfdAd1YvmZ1idag</t>
  </si>
  <si>
    <t>Target Sponsorship</t>
  </si>
  <si>
    <t>Ps Enterprise</t>
  </si>
  <si>
    <t>WA 081296631288; Telp 085771210008</t>
  </si>
  <si>
    <t>admin@psegameshop.com</t>
  </si>
  <si>
    <t>25 Mei 2022 (WA)</t>
  </si>
  <si>
    <t>(follow up dengan email berbeda)</t>
  </si>
  <si>
    <t>Booyah Indonesia</t>
  </si>
  <si>
    <t>contact@booyah.co.id</t>
  </si>
  <si>
    <t>25 Mei 2022</t>
  </si>
  <si>
    <t>aauna91@gmail.com</t>
  </si>
  <si>
    <t>Jl. gg H.Tabar No 211, Rt 04/Rw 16, kapuk, cengkareng, Jakarta Barat</t>
  </si>
  <si>
    <t>Streamgaming</t>
  </si>
  <si>
    <t>business@streamgaming.id</t>
  </si>
  <si>
    <t>(EO)</t>
  </si>
  <si>
    <t>https://drive.google.com/open?id=1GjUh9gEvxeRseDa2X7XvY0uDmJ496Fxm</t>
  </si>
  <si>
    <t>Axis/XL</t>
  </si>
  <si>
    <t>corpcomm@xl.co.id</t>
  </si>
  <si>
    <t>17 Mei 2022</t>
  </si>
  <si>
    <t>Indogamers Indonesia</t>
  </si>
  <si>
    <t>partnership@indogamers.com</t>
  </si>
  <si>
    <t>https://drive.google.com/open?id=1zmUE9gCVVAjrtnkmmAjNJXl7ziHdwfey</t>
  </si>
  <si>
    <t>Bank Ina Perdana</t>
  </si>
  <si>
    <t>0622-13859050</t>
  </si>
  <si>
    <t>fanpage.bankina@gmail.com</t>
  </si>
  <si>
    <t>UniPin Indonesia</t>
  </si>
  <si>
    <t>marketing@unipin.com</t>
  </si>
  <si>
    <t>19 Mei 2022</t>
  </si>
  <si>
    <t>Menunggu proses review</t>
  </si>
  <si>
    <t>Bank Mandiri</t>
  </si>
  <si>
    <t>WA 08118414000, Telp (021) 5245097</t>
  </si>
  <si>
    <t>corporate.secretary@bankmandiri.co.id</t>
  </si>
  <si>
    <t>Bank BRI</t>
  </si>
  <si>
    <t>callbri@bri.co.id</t>
  </si>
  <si>
    <t>Harus kirim hardcopy proposal ke kantor cabang BRI terdekat</t>
  </si>
  <si>
    <t>Pertamina</t>
  </si>
  <si>
    <t>pcc135@pertamina.com</t>
  </si>
  <si>
    <t>Menunggu koordinasi</t>
  </si>
  <si>
    <t>Indofood</t>
  </si>
  <si>
    <t>corporate@indofood.co.id</t>
  </si>
  <si>
    <t>belum bisa berpartisipasi dikarenakan ada prioritas kegiatan lain</t>
  </si>
  <si>
    <t>Indomaret</t>
  </si>
  <si>
    <t>kontak@indomaret.co.id</t>
  </si>
  <si>
    <t>belum bisa berpartisipasi</t>
  </si>
  <si>
    <t>Bank BCA</t>
  </si>
  <si>
    <t>csr@bca.co.id</t>
  </si>
  <si>
    <t>Xiaomi</t>
  </si>
  <si>
    <t>service.id@xiaomi.com</t>
  </si>
  <si>
    <t>Menunggu respon pihak terkait</t>
  </si>
  <si>
    <t>Realme</t>
  </si>
  <si>
    <r>
      <rPr>
        <rFont val="Arial"/>
        <color rgb="FF1155CC"/>
        <u/>
      </rPr>
      <t>pr.id</t>
    </r>
    <r>
      <rPr>
        <rFont val="Arial"/>
        <color rgb="FF1155CC"/>
        <u/>
      </rPr>
      <t>@realme.com; CC: krisva@realme.co.id</t>
    </r>
  </si>
  <si>
    <t>Allo Bank</t>
  </si>
  <si>
    <t>08041104110 / WA 082208224110</t>
  </si>
  <si>
    <t>allocare@bank.com</t>
  </si>
  <si>
    <t>06 Juni 2022</t>
  </si>
  <si>
    <t>by.U</t>
  </si>
  <si>
    <t>liu@byu.id</t>
  </si>
  <si>
    <t>24 Mei 2022</t>
  </si>
  <si>
    <t>PLN</t>
  </si>
  <si>
    <t>pln123@pln.co.id</t>
  </si>
  <si>
    <t>Biznet Home</t>
  </si>
  <si>
    <t>marketing_event@biznetnetworks.com</t>
  </si>
  <si>
    <t>Frisian Flag</t>
  </si>
  <si>
    <t>layanan.peduli@frieslandcampina.com</t>
  </si>
  <si>
    <t>Sudah ada respon, menunggu keputusan (maks H+7)</t>
  </si>
  <si>
    <t>no respon, tidak dapat berpartisipasi</t>
  </si>
  <si>
    <t>Iconnet</t>
  </si>
  <si>
    <t xml:space="preserve">	iconnet@iconpln.co.id</t>
  </si>
  <si>
    <t>Bank DKI</t>
  </si>
  <si>
    <t>(021) 80655555</t>
  </si>
  <si>
    <t>corsec@bankdki.co.id  (corporate secretary)</t>
  </si>
  <si>
    <t>05 Juni 2022</t>
  </si>
  <si>
    <t>Sicepat</t>
  </si>
  <si>
    <t>0812 9966 6088</t>
  </si>
  <si>
    <t>maqna@sicepat.com</t>
  </si>
  <si>
    <t>09 Juni 2022</t>
  </si>
  <si>
    <t>https://www.sicepat.com/contactus</t>
  </si>
  <si>
    <t>Triplyfe</t>
  </si>
  <si>
    <t>triplyfe.indonesia@gmail.com</t>
  </si>
  <si>
    <t>Ovo</t>
  </si>
  <si>
    <t>1 500 696</t>
  </si>
  <si>
    <t>cs@ovo.id</t>
  </si>
  <si>
    <t>PT. TELEKOMUNIKASI SELULAR</t>
  </si>
  <si>
    <t>cs@telkomsel.co.id</t>
  </si>
  <si>
    <t>belum dapat menindaklanjuti perihal pengajuan sponsorship</t>
  </si>
  <si>
    <t>Tokopedia</t>
  </si>
  <si>
    <t>https://www.tokopedia.com/help/article/pengajuan-kerja-sama-dengan-tokopedia</t>
  </si>
  <si>
    <t>bisa kirimkan proposal melalui e-mail communications@tokopedia.com dengan subject "Permohonan Kerja Sama".</t>
  </si>
  <si>
    <t>Dana</t>
  </si>
  <si>
    <t>help@dana.id</t>
  </si>
  <si>
    <t>belum ada respon</t>
  </si>
  <si>
    <t>Rexus</t>
  </si>
  <si>
    <t>(+62) 822 1100 8668</t>
  </si>
  <si>
    <t>(https://rexus.id/language/en/contact-us/)</t>
  </si>
  <si>
    <t>Garena</t>
  </si>
  <si>
    <t>partnership@garena.co.id</t>
  </si>
  <si>
    <t>Pegadaian</t>
  </si>
  <si>
    <t>https://partnership.pegadaian.co.id/hubungi-kami</t>
  </si>
  <si>
    <t>digital.partnership@pegadaian.co.id</t>
  </si>
  <si>
    <t>Indosat IM3</t>
  </si>
  <si>
    <t>https://api.whatsapp.com/send/?phone=628551000185&amp;text&amp;app_absent=0</t>
  </si>
  <si>
    <t>cs@indosatooredoo.com</t>
  </si>
  <si>
    <t>Grab</t>
  </si>
  <si>
    <t>+6221 50816600</t>
  </si>
  <si>
    <t>support.id@grab.com</t>
  </si>
  <si>
    <t xml:space="preserve">gagal, </t>
  </si>
  <si>
    <t>Go-Jek / Go-Pay</t>
  </si>
  <si>
    <t>+6221-5084-9000</t>
  </si>
  <si>
    <t>customerservice@gojek.com</t>
  </si>
  <si>
    <t>belum dapat mendukung acara Anda saat ini.</t>
  </si>
  <si>
    <t>Dicoding</t>
  </si>
  <si>
    <t>wadu</t>
  </si>
  <si>
    <t>https://www.dicoding.com/contact-us</t>
  </si>
  <si>
    <t>https://www.instagram.com/dicoding/</t>
  </si>
  <si>
    <t>Melon Indonesia</t>
  </si>
  <si>
    <t>https://melon.id/kontak</t>
  </si>
  <si>
    <t>PT CICIL SOLUSI MITRA TEKNOLOGI</t>
  </si>
  <si>
    <t>https://api.whatsapp.com/send/?phone=6281113102759&amp;text&amp;app_absent=0</t>
  </si>
  <si>
    <t>contactus@cicil.co.id</t>
  </si>
  <si>
    <t>10 Juni 2022</t>
  </si>
  <si>
    <t>dialihkan ke marketing@cicil.co.id (done)</t>
  </si>
  <si>
    <t>PT Greenfields Indonesia</t>
  </si>
  <si>
    <t>(+62-21) 2561 7181</t>
  </si>
  <si>
    <r>
      <rPr>
        <rFont val="Arial"/>
        <color rgb="FF1155CC"/>
        <u/>
      </rPr>
      <t>https://www.instagram.com/Greenfields.ID/</t>
    </r>
    <r>
      <rPr>
        <rFont val="Arial"/>
        <color rgb="FF000000"/>
        <u/>
      </rPr>
      <t xml:space="preserve"> atau </t>
    </r>
    <r>
      <rPr>
        <rFont val="Arial"/>
        <color rgb="FF1155CC"/>
        <u/>
      </rPr>
      <t>https://www.greenfieldsdairy.com/id/contact-us/</t>
    </r>
  </si>
  <si>
    <t>PT Kosmetikatama Super Indah (Inez Cosmetics)</t>
  </si>
  <si>
    <t xml:space="preserve">+62 341 451100 </t>
  </si>
  <si>
    <t>customercare@inez.co.id</t>
  </si>
  <si>
    <t>belum dapat memberikan support sponsor dalam acara</t>
  </si>
  <si>
    <t>PT Hutchison 3 Indonesia</t>
  </si>
  <si>
    <t>3care@three.co.id</t>
  </si>
  <si>
    <t>gagal, karena emailnya penuh</t>
  </si>
  <si>
    <t>Daxa</t>
  </si>
  <si>
    <t>Indihome/Indihome paket gamer</t>
  </si>
  <si>
    <r>
      <rPr>
        <rFont val="Arial"/>
      </rPr>
      <t xml:space="preserve">cs@upoint.id , ig: </t>
    </r>
    <r>
      <rPr>
        <rFont val="Arial"/>
        <color rgb="FF1155CC"/>
        <u/>
      </rPr>
      <t>indihomegamer.id</t>
    </r>
  </si>
  <si>
    <t>Logitech</t>
  </si>
  <si>
    <t>(+62 21 57851010)</t>
  </si>
  <si>
    <t>nomor yang di internet tidak terdeksi melalui wa dan tidak ada email</t>
  </si>
  <si>
    <t>Sharp</t>
  </si>
  <si>
    <t>sharp-cs@seid.sharp-world.com , iG: sharpindonesia</t>
  </si>
  <si>
    <t>menghubungi pihak terkait melalui nomor telepon office 021-80617100 atau 0267-8468600</t>
  </si>
  <si>
    <t>Dewa web</t>
  </si>
  <si>
    <t>(021) 22124702</t>
  </si>
  <si>
    <t>sales@dewaweb.com, ig: dewaweb</t>
  </si>
  <si>
    <t>tolong dikirimkan proposalnya ke partnership@dewaweb.com</t>
  </si>
  <si>
    <t>kerjasama belum bisa dilakukan</t>
  </si>
  <si>
    <t>Maxim</t>
  </si>
  <si>
    <t>(021)39700226</t>
  </si>
  <si>
    <t>jakarta@taximaxim.com, ig: maxim_indo</t>
  </si>
  <si>
    <t>Biznet</t>
  </si>
  <si>
    <t>ig: biznethome</t>
  </si>
  <si>
    <t>Advan</t>
  </si>
  <si>
    <t>(0628)11182333</t>
  </si>
  <si>
    <t>vania@advandigital.com, ig:advanindonesia</t>
  </si>
  <si>
    <t>Wardah beauty</t>
  </si>
  <si>
    <t>inspiringbeauty@wardahbeauty.com, ig: wardahbeauty</t>
  </si>
  <si>
    <t>Key glow</t>
  </si>
  <si>
    <t>ig:keyglowoffical</t>
  </si>
  <si>
    <t xml:space="preserve">GMail utama </t>
  </si>
  <si>
    <t>Domino (PT DOM PIZZA INDONESIA)</t>
  </si>
  <si>
    <t>1500-366</t>
  </si>
  <si>
    <t>rateourpizza@dominos.co.id</t>
  </si>
  <si>
    <t>Column 11</t>
  </si>
  <si>
    <t>Column 8</t>
  </si>
  <si>
    <t>EMINA COSMETICS</t>
  </si>
  <si>
    <t>+62 877 011 230 00</t>
  </si>
  <si>
    <t>Column 9</t>
  </si>
  <si>
    <t>marketing@eminacosmetics.com</t>
  </si>
  <si>
    <t>Column 10</t>
  </si>
  <si>
    <t>Bank Bukopin</t>
  </si>
  <si>
    <t>+6221 798 8266, 798 9837</t>
  </si>
  <si>
    <t>corsec@bukopin.co.id</t>
  </si>
  <si>
    <t>PT. SINAR SOSRO</t>
  </si>
  <si>
    <t>0855-1176-776</t>
  </si>
  <si>
    <t>contactus@sosro.com</t>
  </si>
  <si>
    <t>Akulaku</t>
  </si>
  <si>
    <t>1500920</t>
  </si>
  <si>
    <t>https://www.akulaku.com/contact-us</t>
  </si>
  <si>
    <t>PT Prudential Life Assurance</t>
  </si>
  <si>
    <t>1500085</t>
  </si>
  <si>
    <t>customer.idn@prudential.co.id</t>
  </si>
  <si>
    <t>Tiktok</t>
  </si>
  <si>
    <t>Samsung</t>
  </si>
  <si>
    <t>Bank BNI</t>
  </si>
  <si>
    <t>+62-21-5728387 atau +62-21-2511946</t>
  </si>
  <si>
    <t>bnicall@bni.co.id</t>
  </si>
  <si>
    <t>menghubungi Unit MCM / KMP pada nomor 021 – 5083 6003</t>
  </si>
  <si>
    <t>PT Bank Permata, Tbk.</t>
  </si>
  <si>
    <t>1500111</t>
  </si>
  <si>
    <t xml:space="preserve">care@permatabank.co.id </t>
  </si>
  <si>
    <t>PT BANK MAYBANK  INDONESIA Tbk</t>
  </si>
  <si>
    <t>customercare@maybank.co.id</t>
  </si>
  <si>
    <t>Indomie - Indomaret (Salim Group)</t>
  </si>
  <si>
    <r>
      <rPr>
        <rFont val="Arial"/>
        <color rgb="FF1155CC"/>
        <u/>
      </rPr>
      <t>Blibli.com</t>
    </r>
    <r>
      <rPr>
        <rFont val="Arial"/>
      </rPr>
      <t xml:space="preserve"> (PT Global Digital Niaga)</t>
    </r>
  </si>
  <si>
    <t>customer.care@blibli.com</t>
  </si>
  <si>
    <t>7-14 hari kerja dan jika lebih dari 14 hari kerja belum dihubungi, berarti pengajuan kerja sama belum disetujui.</t>
  </si>
  <si>
    <t>Shopee</t>
  </si>
  <si>
    <t xml:space="preserve">  </t>
  </si>
  <si>
    <t>Smartfren</t>
  </si>
  <si>
    <t>customercare@smartfren.com</t>
  </si>
  <si>
    <t>Traveloka</t>
  </si>
  <si>
    <t>partnership@traveloka.com</t>
  </si>
  <si>
    <t>Asus</t>
  </si>
  <si>
    <t>asus_indonesia@asus.com</t>
  </si>
  <si>
    <t>Luwak</t>
  </si>
  <si>
    <t>javaprimaabadi@gmail.com</t>
  </si>
  <si>
    <t>Popmie</t>
  </si>
  <si>
    <t>popmie@icbp.indofood.co.id</t>
  </si>
  <si>
    <t>Sukro</t>
  </si>
  <si>
    <t>contactus@duakelinci.co.id</t>
  </si>
  <si>
    <t>Bukalapak</t>
  </si>
  <si>
    <t>olx</t>
  </si>
  <si>
    <t>0853-4238-8006</t>
  </si>
  <si>
    <t>info@olxautos.co.id</t>
  </si>
  <si>
    <t>12 Juni 2022</t>
  </si>
  <si>
    <t>dialihkan ke  marketing@olx.co.id (sudah dikirim, menunggu konfirmasi)</t>
  </si>
  <si>
    <t>oyo</t>
  </si>
  <si>
    <t>jd.id</t>
  </si>
  <si>
    <t>aftersale@jd.id</t>
  </si>
  <si>
    <t>akulaku</t>
  </si>
  <si>
    <t>collection.indonesia@akulaku.com</t>
  </si>
  <si>
    <t>Oppo</t>
  </si>
  <si>
    <t>hello@oppo.com</t>
  </si>
  <si>
    <t>Eiger</t>
  </si>
  <si>
    <t>0800-1234-168/ 0888-09-168-168</t>
  </si>
  <si>
    <t>cs@eigeradventure.com</t>
  </si>
  <si>
    <t>dialihkan ke prposal@eigeradventure.com (sudah dikirim, menunggu respon)</t>
  </si>
  <si>
    <t>Aqua</t>
  </si>
  <si>
    <t>0813-888888-73</t>
  </si>
  <si>
    <t>SinarmasLand</t>
  </si>
  <si>
    <t>(+62 21) 50 368 368</t>
  </si>
  <si>
    <t>career@sinarmasland.com</t>
  </si>
  <si>
    <t>Nestle</t>
  </si>
  <si>
    <t>62 21 5086 6000</t>
  </si>
  <si>
    <t>nestle.indonesia@id.nestle.com</t>
  </si>
  <si>
    <t>menunggu konfirmasi lebih lanjut</t>
  </si>
  <si>
    <t>Antangin</t>
  </si>
  <si>
    <r>
      <rPr>
        <rFont val="Arial"/>
        <color rgb="FF030303"/>
        <u/>
      </rPr>
      <t>contact@deltomed.com</t>
    </r>
    <r>
      <rPr>
        <rFont val="Arial"/>
        <color rgb="FF000000"/>
      </rPr>
      <t xml:space="preserve"> &amp; hello@herbana.id</t>
    </r>
  </si>
  <si>
    <t>WeTv</t>
  </si>
  <si>
    <t>contact@wetvshopsupport.com</t>
  </si>
  <si>
    <t>Jabatan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</si>
</sst>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"/>
    <numFmt numFmtId="165" formatCode="mmmm d"/>
    <numFmt numFmtId="166" formatCode="&quot;$&quot;#,##0.00"/>
    <numFmt numFmtId="167" formatCode="M/d/yyyy"/>
    <numFmt numFmtId="168" formatCode="dd/MM/yyyy"/>
    <numFmt numFmtId="169" formatCode="&quot;0&quot;#"/>
    <numFmt numFmtId="170" formatCode="dd/mm/yyyy"/>
    <numFmt numFmtId="171" formatCode="d/m/yyyy"/>
    <numFmt numFmtId="172" formatCode="d mmmm yyyy"/>
  </numFmts>
  <fonts count="82">
    <font>
      <sz val="10.0"/>
      <color rgb="FF000000"/>
      <name val="Arial"/>
      <scheme val="minor"/>
    </font>
    <font>
      <sz val="12.0"/>
      <color theme="1"/>
      <name val="Times New Roman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b/>
      <sz val="12.0"/>
      <color theme="1"/>
      <name val="Times New Roman"/>
    </font>
    <font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theme="1"/>
      <name val="Roboto"/>
    </font>
    <font/>
    <font>
      <b/>
      <sz val="32.0"/>
      <color rgb="FF0B5394"/>
      <name val="Roboto"/>
    </font>
    <font>
      <b/>
      <color theme="1"/>
      <name val="Arial"/>
      <scheme val="minor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color theme="1"/>
      <name val="Arial"/>
      <scheme val="minor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000000"/>
      <name val="Roboto"/>
    </font>
    <font>
      <sz val="10.0"/>
      <color rgb="FF999999"/>
      <name val="Roboto"/>
    </font>
    <font>
      <color theme="1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color rgb="FF434343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sz val="11.0"/>
      <color theme="1"/>
      <name val="&quot;Calibri&quot;"/>
    </font>
    <font>
      <b/>
      <sz val="11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color theme="1"/>
      <name val="Arial"/>
    </font>
    <font>
      <u/>
      <sz val="10.0"/>
      <color theme="1"/>
      <name val="Roboto"/>
    </font>
    <font>
      <b/>
      <sz val="10.0"/>
      <color rgb="FF000000"/>
      <name val="Roboto"/>
    </font>
    <font>
      <u/>
      <sz val="10.0"/>
      <color rgb="FF434343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color rgb="FFFFFFFF"/>
      <name val="Roboto"/>
    </font>
    <font>
      <color rgb="FF11734B"/>
      <name val="Roboto"/>
    </font>
    <font>
      <b/>
      <u/>
      <sz val="11.0"/>
      <color rgb="FF000000"/>
      <name val="Roboto"/>
    </font>
    <font>
      <color rgb="FFB10202"/>
      <name val="Roboto"/>
    </font>
    <font>
      <color rgb="FF5A3286"/>
      <name val="Roboto"/>
    </font>
    <font>
      <color rgb="FFFF1DBD"/>
      <name val="Roboto"/>
    </font>
    <font>
      <u/>
      <color rgb="FF434343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434343"/>
      <name val="Roboto"/>
    </font>
    <font>
      <u/>
      <color rgb="FF434343"/>
      <name val="Roboto"/>
    </font>
    <font>
      <b/>
      <sz val="12.0"/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1A0DAB"/>
      <name val="Arial"/>
    </font>
    <font>
      <u/>
      <sz val="12.0"/>
      <color rgb="FF002F34"/>
      <name val="Poppins"/>
    </font>
    <font>
      <sz val="14.0"/>
      <color rgb="FF333333"/>
      <name val="Helvetica Neue"/>
    </font>
    <font>
      <sz val="12.0"/>
      <color rgb="FF202124"/>
      <name val="Arial"/>
    </font>
    <font>
      <color rgb="FF202124"/>
      <name val="Arial"/>
    </font>
    <font>
      <color rgb="FF000000"/>
      <name val="Arial"/>
    </font>
    <font>
      <color rgb="FF333333"/>
      <name val="Arial"/>
    </font>
    <font>
      <u/>
      <color rgb="FF333333"/>
      <name val="Arial"/>
    </font>
    <font>
      <color rgb="FF63513D"/>
      <name val="Arial"/>
    </font>
    <font>
      <u/>
      <color rgb="FF007CBA"/>
      <name val="Arial"/>
    </font>
    <font>
      <u/>
      <color rgb="FF030303"/>
      <name val="Arial"/>
    </font>
    <font>
      <b/>
      <color rgb="FF202124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F8F9FA"/>
        <bgColor rgb="FFF8F9FA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3DB614"/>
        <bgColor rgb="FF3DB614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2F4F5"/>
        <bgColor rgb="FFF2F4F5"/>
      </patternFill>
    </fill>
    <fill>
      <patternFill patternType="solid">
        <fgColor rgb="FFE7E8E9"/>
        <bgColor rgb="FFE7E8E9"/>
      </patternFill>
    </fill>
  </fills>
  <borders count="5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bottom style="thin">
        <color rgb="FFD9D9D9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7B7B7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F8F9FA"/>
      </bottom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top style="thin">
        <color rgb="FFB7B7B7"/>
      </top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999999"/>
      </top>
      <bottom style="thin">
        <color rgb="FFB7B7B7"/>
      </bottom>
    </border>
    <border>
      <left style="thin">
        <color rgb="FF2E890F"/>
      </left>
      <right style="thin">
        <color rgb="FF3DB614"/>
      </right>
      <top style="thin">
        <color rgb="FF2E890F"/>
      </top>
    </border>
    <border>
      <bottom style="thin">
        <color rgb="FF999999"/>
      </bottom>
    </border>
    <border>
      <left style="thin">
        <color rgb="FF3DB614"/>
      </left>
      <right style="thin">
        <color rgb="FF3DB614"/>
      </right>
      <top style="thin">
        <color rgb="FF2E890F"/>
      </top>
    </border>
    <border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284E3F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4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2" fontId="4" numFmtId="0" xfId="0" applyAlignment="1" applyFill="1" applyFont="1">
      <alignment readingOrder="0" shrinkToFit="0" vertical="center" wrapText="0"/>
    </xf>
    <xf borderId="1" fillId="3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vertical="center"/>
    </xf>
    <xf borderId="1" fillId="4" fontId="5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1" fillId="6" fontId="5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shrinkToFit="0" vertical="center" wrapText="0"/>
    </xf>
    <xf borderId="1" fillId="7" fontId="5" numFmtId="0" xfId="0" applyAlignment="1" applyBorder="1" applyFill="1" applyFont="1">
      <alignment horizontal="center" readingOrder="0" vertical="center"/>
    </xf>
    <xf borderId="0" fillId="2" fontId="7" numFmtId="0" xfId="0" applyAlignment="1" applyFill="1" applyFont="1">
      <alignment horizontal="center" shrinkToFit="0" vertical="center" wrapText="0"/>
    </xf>
    <xf borderId="1" fillId="8" fontId="5" numFmtId="0" xfId="0" applyAlignment="1" applyBorder="1" applyFill="1" applyFont="1">
      <alignment horizontal="center" readingOrder="0" vertical="center"/>
    </xf>
    <xf borderId="0" fillId="2" fontId="7" numFmtId="0" xfId="0" applyAlignment="1" applyFill="1" applyFont="1">
      <alignment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2" fontId="7" numFmtId="0" xfId="0" applyAlignment="1" applyFill="1" applyFont="1">
      <alignment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1" fillId="3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2" fillId="2" fontId="9" numFmtId="0" xfId="0" applyAlignment="1" applyBorder="1" applyFill="1" applyFont="1">
      <alignment readingOrder="0" shrinkToFit="0" vertical="center" wrapText="0"/>
    </xf>
    <xf borderId="2" fillId="0" fontId="10" numFmtId="0" xfId="0" applyBorder="1" applyFont="1"/>
    <xf borderId="2" fillId="2" fontId="11" numFmtId="0" xfId="0" applyAlignment="1" applyBorder="1" applyFill="1" applyFont="1">
      <alignment readingOrder="0" shrinkToFit="0" vertical="center" wrapText="0"/>
    </xf>
    <xf borderId="0" fillId="0" fontId="12" numFmtId="0" xfId="0" applyAlignment="1" applyFont="1">
      <alignment horizontal="center" readingOrder="0"/>
    </xf>
    <xf borderId="2" fillId="2" fontId="13" numFmtId="0" xfId="0" applyAlignment="1" applyBorder="1" applyFill="1" applyFont="1">
      <alignment readingOrder="0" shrinkToFit="0" vertical="center" wrapText="0"/>
    </xf>
    <xf borderId="3" fillId="3" fontId="5" numFmtId="0" xfId="0" applyAlignment="1" applyBorder="1" applyFill="1" applyFont="1">
      <alignment horizontal="center" readingOrder="0" vertical="center"/>
    </xf>
    <xf borderId="2" fillId="2" fontId="14" numFmtId="0" xfId="0" applyAlignment="1" applyBorder="1" applyFill="1" applyFont="1">
      <alignment readingOrder="0" shrinkToFit="0" vertical="center" wrapText="1"/>
    </xf>
    <xf borderId="4" fillId="9" fontId="12" numFmtId="0" xfId="0" applyAlignment="1" applyBorder="1" applyFill="1" applyFont="1">
      <alignment horizontal="center" readingOrder="0"/>
    </xf>
    <xf borderId="5" fillId="0" fontId="10" numFmtId="0" xfId="0" applyBorder="1" applyFont="1"/>
    <xf borderId="0" fillId="2" fontId="15" numFmtId="0" xfId="0" applyAlignment="1" applyFill="1" applyFont="1">
      <alignment readingOrder="0" shrinkToFit="0" vertical="center" wrapText="0"/>
    </xf>
    <xf borderId="6" fillId="0" fontId="10" numFmtId="0" xfId="0" applyBorder="1" applyFont="1"/>
    <xf borderId="1" fillId="3" fontId="1" numFmtId="0" xfId="0" applyAlignment="1" applyBorder="1" applyFill="1" applyFont="1">
      <alignment readingOrder="0"/>
    </xf>
    <xf borderId="4" fillId="0" fontId="16" numFmtId="0" xfId="0" applyAlignment="1" applyBorder="1" applyFont="1">
      <alignment horizontal="center" readingOrder="0"/>
    </xf>
    <xf borderId="0" fillId="0" fontId="17" numFmtId="0" xfId="0" applyAlignment="1" applyFont="1">
      <alignment horizontal="left" readingOrder="0" shrinkToFit="0" vertical="center" wrapText="0"/>
    </xf>
    <xf borderId="0" fillId="2" fontId="18" numFmtId="0" xfId="0" applyAlignment="1" applyFill="1" applyFont="1">
      <alignment readingOrder="0" shrinkToFit="0" vertical="center" wrapText="0"/>
    </xf>
    <xf borderId="7" fillId="0" fontId="16" numFmtId="0" xfId="0" applyBorder="1" applyFont="1"/>
    <xf borderId="8" fillId="0" fontId="10" numFmtId="0" xfId="0" applyBorder="1" applyFont="1"/>
    <xf borderId="0" fillId="2" fontId="19" numFmtId="0" xfId="0" applyAlignment="1" applyFill="1" applyFont="1">
      <alignment shrinkToFit="0" vertical="center" wrapText="0"/>
    </xf>
    <xf borderId="0" fillId="0" fontId="20" numFmtId="0" xfId="0" applyAlignment="1" applyFont="1">
      <alignment vertical="center"/>
    </xf>
    <xf borderId="9" fillId="0" fontId="16" numFmtId="0" xfId="0" applyBorder="1" applyFont="1"/>
    <xf borderId="3" fillId="10" fontId="5" numFmtId="0" xfId="0" applyAlignment="1" applyBorder="1" applyFill="1" applyFont="1">
      <alignment horizontal="center" readingOrder="0" vertical="center"/>
    </xf>
    <xf borderId="10" fillId="0" fontId="16" numFmtId="0" xfId="0" applyBorder="1" applyFont="1"/>
    <xf borderId="1" fillId="10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readingOrder="0"/>
    </xf>
    <xf borderId="11" fillId="0" fontId="21" numFmtId="0" xfId="0" applyAlignment="1" applyBorder="1" applyFont="1">
      <alignment horizontal="left" readingOrder="0" shrinkToFit="0" vertical="center" wrapText="0"/>
    </xf>
    <xf borderId="11" fillId="0" fontId="10" numFmtId="0" xfId="0" applyBorder="1" applyFont="1"/>
    <xf borderId="0" fillId="0" fontId="16" numFmtId="0" xfId="0" applyAlignment="1" applyFont="1">
      <alignment horizontal="center"/>
    </xf>
    <xf borderId="7" fillId="0" fontId="16" numFmtId="0" xfId="0" applyAlignment="1" applyBorder="1" applyFont="1">
      <alignment horizontal="center"/>
    </xf>
    <xf borderId="11" fillId="2" fontId="22" numFmtId="0" xfId="0" applyAlignment="1" applyBorder="1" applyFill="1" applyFont="1">
      <alignment readingOrder="0" shrinkToFit="0" vertical="center" wrapText="0"/>
    </xf>
    <xf borderId="0" fillId="2" fontId="23" numFmtId="0" xfId="0" applyAlignment="1" applyFill="1" applyFont="1">
      <alignment readingOrder="0" shrinkToFit="0" vertical="center" wrapText="0"/>
    </xf>
    <xf borderId="3" fillId="5" fontId="5" numFmtId="0" xfId="0" applyAlignment="1" applyBorder="1" applyFill="1" applyFont="1">
      <alignment horizontal="center" readingOrder="0" vertical="center"/>
    </xf>
    <xf borderId="0" fillId="2" fontId="16" numFmtId="0" xfId="0" applyFill="1" applyFont="1"/>
    <xf borderId="11" fillId="0" fontId="22" numFmtId="0" xfId="0" applyAlignment="1" applyBorder="1" applyFont="1">
      <alignment horizontal="left" readingOrder="0" vertical="center"/>
    </xf>
    <xf borderId="1" fillId="5" fontId="1" numFmtId="0" xfId="0" applyAlignment="1" applyBorder="1" applyFill="1" applyFont="1">
      <alignment horizontal="center" vertical="center"/>
    </xf>
    <xf borderId="0" fillId="0" fontId="6" numFmtId="0" xfId="0" applyFont="1"/>
    <xf borderId="4" fillId="11" fontId="12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readingOrder="0"/>
    </xf>
    <xf borderId="1" fillId="0" fontId="16" numFmtId="0" xfId="0" applyAlignment="1" applyBorder="1" applyFont="1">
      <alignment readingOrder="0"/>
    </xf>
    <xf borderId="11" fillId="0" fontId="22" numFmtId="0" xfId="0" applyAlignment="1" applyBorder="1" applyFont="1">
      <alignment readingOrder="0" shrinkToFit="0" vertical="center" wrapText="0"/>
    </xf>
    <xf borderId="1" fillId="0" fontId="16" numFmtId="0" xfId="0" applyBorder="1" applyFont="1"/>
    <xf borderId="0" fillId="0" fontId="23" numFmtId="0" xfId="0" applyAlignment="1" applyFont="1">
      <alignment readingOrder="0" shrinkToFit="0" vertical="center" wrapText="0"/>
    </xf>
    <xf borderId="3" fillId="6" fontId="5" numFmtId="0" xfId="0" applyAlignment="1" applyBorder="1" applyFill="1" applyFont="1">
      <alignment horizontal="center" readingOrder="0" vertical="center"/>
    </xf>
    <xf borderId="4" fillId="0" fontId="16" numFmtId="0" xfId="0" applyAlignment="1" applyBorder="1" applyFont="1">
      <alignment horizontal="center" readingOrder="0" vertical="center"/>
    </xf>
    <xf borderId="11" fillId="0" fontId="22" numFmtId="164" xfId="0" applyAlignment="1" applyBorder="1" applyFont="1" applyNumberFormat="1">
      <alignment horizontal="left" readingOrder="0" vertical="center"/>
    </xf>
    <xf borderId="1" fillId="0" fontId="16" numFmtId="0" xfId="0" applyAlignment="1" applyBorder="1" applyFont="1">
      <alignment readingOrder="0" shrinkToFit="0" wrapText="1"/>
    </xf>
    <xf borderId="0" fillId="0" fontId="24" numFmtId="0" xfId="0" applyAlignment="1" applyFont="1">
      <alignment horizontal="left" readingOrder="0" shrinkToFit="0" vertical="center" wrapText="0"/>
    </xf>
    <xf borderId="11" fillId="0" fontId="22" numFmtId="0" xfId="0" applyBorder="1" applyFont="1"/>
    <xf borderId="12" fillId="0" fontId="16" numFmtId="0" xfId="0" applyBorder="1" applyFont="1"/>
    <xf borderId="1" fillId="6" fontId="1" numFmtId="0" xfId="0" applyAlignment="1" applyBorder="1" applyFill="1" applyFont="1">
      <alignment readingOrder="0"/>
    </xf>
    <xf borderId="0" fillId="0" fontId="2" numFmtId="0" xfId="0" applyFont="1"/>
    <xf borderId="0" fillId="0" fontId="25" numFmtId="0" xfId="0" applyAlignment="1" applyFont="1">
      <alignment vertical="center"/>
    </xf>
    <xf borderId="0" fillId="0" fontId="24" numFmtId="0" xfId="0" applyAlignment="1" applyFont="1">
      <alignment horizontal="left" readingOrder="0" shrinkToFit="0" vertical="center" wrapText="0"/>
    </xf>
    <xf borderId="0" fillId="0" fontId="24" numFmtId="165" xfId="0" applyAlignment="1" applyFont="1" applyNumberFormat="1">
      <alignment horizontal="left" readingOrder="0" shrinkToFit="0" vertical="center" wrapText="0"/>
    </xf>
    <xf borderId="0" fillId="2" fontId="26" numFmtId="0" xfId="0" applyAlignment="1" applyFill="1" applyFont="1">
      <alignment horizontal="center" shrinkToFit="0" vertical="center" wrapText="0"/>
    </xf>
    <xf borderId="0" fillId="2" fontId="26" numFmtId="0" xfId="0" applyAlignment="1" applyFill="1" applyFont="1">
      <alignment shrinkToFit="0" vertical="center" wrapText="0"/>
    </xf>
    <xf borderId="0" fillId="0" fontId="16" numFmtId="0" xfId="0" applyAlignment="1" applyFont="1">
      <alignment horizontal="center" readingOrder="0"/>
    </xf>
    <xf borderId="3" fillId="12" fontId="5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 vertical="center"/>
    </xf>
    <xf borderId="12" fillId="3" fontId="12" numFmtId="0" xfId="0" applyAlignment="1" applyBorder="1" applyFill="1" applyFont="1">
      <alignment horizontal="center" readingOrder="0"/>
    </xf>
    <xf borderId="13" fillId="0" fontId="10" numFmtId="0" xfId="0" applyBorder="1" applyFont="1"/>
    <xf borderId="1" fillId="12" fontId="1" numFmtId="0" xfId="0" applyAlignment="1" applyBorder="1" applyFill="1" applyFont="1">
      <alignment readingOrder="0"/>
    </xf>
    <xf borderId="0" fillId="0" fontId="24" numFmtId="0" xfId="0" applyAlignment="1" applyFont="1">
      <alignment horizontal="left" readingOrder="0" shrinkToFit="0" vertical="center" wrapText="0"/>
    </xf>
    <xf borderId="4" fillId="3" fontId="12" numFmtId="0" xfId="0" applyAlignment="1" applyBorder="1" applyFill="1" applyFont="1">
      <alignment horizontal="center" readingOrder="0"/>
    </xf>
    <xf borderId="0" fillId="0" fontId="26" numFmtId="0" xfId="0" applyAlignment="1" applyFont="1">
      <alignment shrinkToFit="0" vertical="center" wrapText="0"/>
    </xf>
    <xf borderId="3" fillId="8" fontId="5" numFmtId="0" xfId="0" applyAlignment="1" applyBorder="1" applyFill="1" applyFont="1">
      <alignment horizontal="center" readingOrder="0" vertical="center"/>
    </xf>
    <xf borderId="0" fillId="13" fontId="27" numFmtId="0" xfId="0" applyAlignment="1" applyFill="1" applyFont="1">
      <alignment horizontal="center" readingOrder="0" shrinkToFit="0" vertical="center" wrapText="1"/>
    </xf>
    <xf borderId="14" fillId="0" fontId="16" numFmtId="0" xfId="0" applyAlignment="1" applyBorder="1" applyFont="1">
      <alignment horizontal="center" readingOrder="0"/>
    </xf>
    <xf borderId="15" fillId="0" fontId="10" numFmtId="0" xfId="0" applyBorder="1" applyFont="1"/>
    <xf borderId="1" fillId="2" fontId="28" numFmtId="0" xfId="0" applyAlignment="1" applyBorder="1" applyFill="1" applyFont="1">
      <alignment readingOrder="0" shrinkToFit="0" vertical="center" wrapText="0"/>
    </xf>
    <xf borderId="7" fillId="0" fontId="16" numFmtId="0" xfId="0" applyAlignment="1" applyBorder="1" applyFont="1">
      <alignment horizontal="center" readingOrder="0"/>
    </xf>
    <xf borderId="1" fillId="8" fontId="1" numFmtId="0" xfId="0" applyAlignment="1" applyBorder="1" applyFill="1" applyFont="1">
      <alignment readingOrder="0"/>
    </xf>
    <xf borderId="16" fillId="14" fontId="29" numFmtId="0" xfId="0" applyAlignment="1" applyBorder="1" applyFill="1" applyFont="1">
      <alignment horizontal="center" readingOrder="0" shrinkToFit="0" vertical="center" wrapText="0"/>
    </xf>
    <xf borderId="9" fillId="0" fontId="10" numFmtId="0" xfId="0" applyBorder="1" applyFont="1"/>
    <xf borderId="17" fillId="2" fontId="28" numFmtId="0" xfId="0" applyAlignment="1" applyBorder="1" applyFill="1" applyFont="1">
      <alignment horizontal="center" readingOrder="0" shrinkToFit="0" vertical="center" wrapText="0"/>
    </xf>
    <xf borderId="16" fillId="15" fontId="29" numFmtId="0" xfId="0" applyAlignment="1" applyBorder="1" applyFill="1" applyFont="1">
      <alignment horizontal="center" readingOrder="0" shrinkToFit="0" vertical="center" wrapText="0"/>
    </xf>
    <xf borderId="16" fillId="16" fontId="29" numFmtId="0" xfId="0" applyAlignment="1" applyBorder="1" applyFill="1" applyFont="1">
      <alignment horizontal="center" readingOrder="0" shrinkToFit="0" vertical="center" wrapText="0"/>
    </xf>
    <xf borderId="16" fillId="17" fontId="29" numFmtId="0" xfId="0" applyAlignment="1" applyBorder="1" applyFill="1" applyFont="1">
      <alignment horizontal="center" readingOrder="0" shrinkToFit="0" vertical="center" wrapText="0"/>
    </xf>
    <xf borderId="17" fillId="2" fontId="28" numFmtId="0" xfId="0" applyAlignment="1" applyBorder="1" applyFill="1" applyFont="1">
      <alignment horizontal="center" readingOrder="0" shrinkToFit="0" vertical="center" wrapText="0"/>
    </xf>
    <xf borderId="4" fillId="0" fontId="16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 vertical="center"/>
    </xf>
    <xf borderId="18" fillId="0" fontId="10" numFmtId="0" xfId="0" applyBorder="1" applyFont="1"/>
    <xf borderId="0" fillId="0" fontId="30" numFmtId="0" xfId="0" applyAlignment="1" applyFont="1">
      <alignment vertical="center"/>
    </xf>
    <xf borderId="6" fillId="0" fontId="10" numFmtId="0" xfId="0" applyBorder="1" applyFont="1"/>
    <xf borderId="3" fillId="0" fontId="1" numFmtId="0" xfId="0" applyAlignment="1" applyBorder="1" applyFont="1">
      <alignment horizontal="center" readingOrder="0" vertical="center"/>
    </xf>
    <xf borderId="19" fillId="18" fontId="29" numFmtId="0" xfId="0" applyAlignment="1" applyBorder="1" applyFill="1" applyFont="1">
      <alignment horizontal="center" readingOrder="0" shrinkToFit="0" vertical="center" wrapText="0"/>
    </xf>
    <xf borderId="20" fillId="0" fontId="10" numFmtId="0" xfId="0" applyBorder="1" applyFont="1"/>
    <xf borderId="4" fillId="19" fontId="12" numFmtId="0" xfId="0" applyAlignment="1" applyBorder="1" applyFill="1" applyFont="1">
      <alignment horizontal="center" readingOrder="0"/>
    </xf>
    <xf borderId="21" fillId="0" fontId="10" numFmtId="0" xfId="0" applyBorder="1" applyFont="1"/>
    <xf borderId="0" fillId="0" fontId="16" numFmtId="0" xfId="0" applyAlignment="1" applyFont="1">
      <alignment readingOrder="0"/>
    </xf>
    <xf borderId="1" fillId="20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7" fillId="2" fontId="28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/>
    </xf>
    <xf borderId="19" fillId="21" fontId="29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2" fillId="2" fontId="28" numFmtId="0" xfId="0" applyAlignment="1" applyBorder="1" applyFill="1" applyFont="1">
      <alignment horizontal="center" shrinkToFit="0" vertical="center" wrapText="0"/>
    </xf>
    <xf borderId="0" fillId="2" fontId="28" numFmtId="0" xfId="0" applyAlignment="1" applyFill="1" applyFont="1">
      <alignment horizontal="center" readingOrder="0" shrinkToFit="0" vertical="center" wrapText="0"/>
    </xf>
    <xf borderId="0" fillId="2" fontId="28" numFmtId="0" xfId="0" applyAlignment="1" applyFill="1" applyFont="1">
      <alignment horizontal="center" readingOrder="0" shrinkToFit="0" vertical="center" wrapText="0"/>
    </xf>
    <xf borderId="19" fillId="22" fontId="29" numFmtId="0" xfId="0" applyAlignment="1" applyBorder="1" applyFill="1" applyFont="1">
      <alignment horizontal="center" readingOrder="0" shrinkToFit="0" vertical="center" wrapText="0"/>
    </xf>
    <xf borderId="12" fillId="0" fontId="16" numFmtId="0" xfId="0" applyAlignment="1" applyBorder="1" applyFont="1">
      <alignment horizontal="center" readingOrder="0"/>
    </xf>
    <xf borderId="12" fillId="2" fontId="16" numFmtId="0" xfId="0" applyAlignment="1" applyBorder="1" applyFill="1" applyFont="1">
      <alignment horizontal="center" readingOrder="0"/>
    </xf>
    <xf borderId="19" fillId="23" fontId="29" numFmtId="0" xfId="0" applyAlignment="1" applyBorder="1" applyFill="1" applyFont="1">
      <alignment horizontal="center" readingOrder="0" shrinkToFit="0" vertical="center" wrapText="0"/>
    </xf>
    <xf borderId="23" fillId="24" fontId="28" numFmtId="0" xfId="0" applyAlignment="1" applyBorder="1" applyFill="1" applyFont="1">
      <alignment horizontal="center" readingOrder="0" shrinkToFit="0" vertical="center" wrapText="0"/>
    </xf>
    <xf borderId="23" fillId="24" fontId="28" numFmtId="0" xfId="0" applyAlignment="1" applyBorder="1" applyFill="1" applyFont="1">
      <alignment horizontal="center" readingOrder="0" shrinkToFit="0" vertical="center" wrapText="0"/>
    </xf>
    <xf borderId="0" fillId="0" fontId="31" numFmtId="0" xfId="0" applyAlignment="1" applyFont="1">
      <alignment vertical="center"/>
    </xf>
    <xf borderId="24" fillId="25" fontId="32" numFmtId="0" xfId="0" applyAlignment="1" applyBorder="1" applyFill="1" applyFont="1">
      <alignment horizontal="center" readingOrder="0" shrinkToFit="0" vertical="center" wrapText="0"/>
    </xf>
    <xf borderId="23" fillId="24" fontId="28" numFmtId="0" xfId="0" applyAlignment="1" applyBorder="1" applyFill="1" applyFont="1">
      <alignment horizontal="center" shrinkToFit="0" vertical="center" wrapText="0"/>
    </xf>
    <xf borderId="24" fillId="26" fontId="32" numFmtId="0" xfId="0" applyAlignment="1" applyBorder="1" applyFill="1" applyFont="1">
      <alignment horizontal="center" readingOrder="0" shrinkToFit="0" vertical="center" wrapText="0"/>
    </xf>
    <xf borderId="24" fillId="27" fontId="32" numFmtId="0" xfId="0" applyAlignment="1" applyBorder="1" applyFill="1" applyFont="1">
      <alignment horizontal="center" readingOrder="0" shrinkToFit="0" vertical="center" wrapText="0"/>
    </xf>
    <xf borderId="4" fillId="0" fontId="33" numFmtId="0" xfId="0" applyAlignment="1" applyBorder="1" applyFont="1">
      <alignment horizontal="center" readingOrder="0"/>
    </xf>
    <xf borderId="25" fillId="24" fontId="28" numFmtId="0" xfId="0" applyAlignment="1" applyBorder="1" applyFill="1" applyFont="1">
      <alignment horizontal="center" shrinkToFit="0" vertical="center" wrapText="0"/>
    </xf>
    <xf borderId="0" fillId="24" fontId="28" numFmtId="0" xfId="0" applyAlignment="1" applyFill="1" applyFont="1">
      <alignment horizontal="center" readingOrder="0" shrinkToFit="0" vertical="center" wrapText="0"/>
    </xf>
    <xf borderId="24" fillId="28" fontId="32" numFmtId="0" xfId="0" applyAlignment="1" applyBorder="1" applyFill="1" applyFont="1">
      <alignment horizontal="center" readingOrder="0" shrinkToFit="0" vertical="center" wrapText="0"/>
    </xf>
    <xf borderId="0" fillId="24" fontId="28" numFmtId="0" xfId="0" applyAlignment="1" applyFill="1" applyFont="1">
      <alignment horizontal="center" readingOrder="0" shrinkToFit="0" vertical="center" wrapText="0"/>
    </xf>
    <xf borderId="26" fillId="29" fontId="34" numFmtId="0" xfId="0" applyAlignment="1" applyBorder="1" applyFill="1" applyFont="1">
      <alignment horizontal="left" readingOrder="0" shrinkToFit="0" vertical="center" wrapText="1"/>
    </xf>
    <xf borderId="26" fillId="29" fontId="34" numFmtId="0" xfId="0" applyAlignment="1" applyBorder="1" applyFill="1" applyFont="1">
      <alignment readingOrder="0" shrinkToFit="0" vertical="center" wrapText="0"/>
    </xf>
    <xf borderId="3" fillId="0" fontId="16" numFmtId="0" xfId="0" applyAlignment="1" applyBorder="1" applyFont="1">
      <alignment readingOrder="0" shrinkToFit="0" vertical="center" wrapText="1"/>
    </xf>
    <xf borderId="26" fillId="29" fontId="34" numFmtId="0" xfId="0" applyAlignment="1" applyBorder="1" applyFill="1" applyFont="1">
      <alignment readingOrder="0" shrinkToFit="0" vertical="center" wrapText="1"/>
    </xf>
    <xf borderId="0" fillId="29" fontId="34" numFmtId="0" xfId="0" applyAlignment="1" applyFill="1" applyFont="1">
      <alignment readingOrder="0" shrinkToFit="0" vertical="center" wrapText="1"/>
    </xf>
    <xf borderId="0" fillId="29" fontId="34" numFmtId="0" xfId="0" applyAlignment="1" applyFill="1" applyFont="1">
      <alignment horizontal="center" shrinkToFit="0" vertical="center" wrapText="0"/>
    </xf>
    <xf borderId="0" fillId="29" fontId="34" numFmtId="166" xfId="0" applyAlignment="1" applyFill="1" applyFont="1" applyNumberFormat="1">
      <alignment horizontal="center" shrinkToFit="0" vertical="center" wrapText="0"/>
    </xf>
    <xf borderId="1" fillId="30" fontId="28" numFmtId="0" xfId="0" applyAlignment="1" applyBorder="1" applyFill="1" applyFont="1">
      <alignment readingOrder="0" shrinkToFit="0" vertical="center" wrapText="0"/>
    </xf>
    <xf borderId="0" fillId="29" fontId="34" numFmtId="3" xfId="0" applyAlignment="1" applyFill="1" applyFont="1" applyNumberFormat="1">
      <alignment horizontal="center" shrinkToFit="0" vertical="center" wrapText="0"/>
    </xf>
    <xf borderId="0" fillId="29" fontId="34" numFmtId="0" xfId="0" applyAlignment="1" applyFill="1" applyFont="1">
      <alignment horizontal="center" shrinkToFit="0" vertical="center" wrapText="0"/>
    </xf>
    <xf borderId="17" fillId="2" fontId="28" numFmtId="0" xfId="0" applyAlignment="1" applyBorder="1" applyFill="1" applyFont="1">
      <alignment horizontal="center" shrinkToFit="0" vertical="center" wrapText="0"/>
    </xf>
    <xf borderId="17" fillId="2" fontId="28" numFmtId="0" xfId="0" applyAlignment="1" applyBorder="1" applyFill="1" applyFont="1">
      <alignment horizontal="center" shrinkToFit="0" vertical="center" wrapText="0"/>
    </xf>
    <xf borderId="0" fillId="0" fontId="35" numFmtId="0" xfId="0" applyAlignment="1" applyFont="1">
      <alignment vertical="center"/>
    </xf>
    <xf borderId="27" fillId="0" fontId="36" numFmtId="0" xfId="0" applyAlignment="1" applyBorder="1" applyFont="1">
      <alignment horizontal="left" readingOrder="0" shrinkToFit="0" vertical="center" wrapText="1"/>
    </xf>
    <xf borderId="27" fillId="0" fontId="36" numFmtId="0" xfId="0" applyAlignment="1" applyBorder="1" applyFont="1">
      <alignment readingOrder="0" shrinkToFit="0" vertical="center" wrapText="1"/>
    </xf>
    <xf borderId="3" fillId="2" fontId="28" numFmtId="0" xfId="0" applyAlignment="1" applyBorder="1" applyFill="1" applyFont="1">
      <alignment readingOrder="0" shrinkToFit="0" vertical="center" wrapText="0"/>
    </xf>
    <xf borderId="1" fillId="0" fontId="37" numFmtId="0" xfId="0" applyAlignment="1" applyBorder="1" applyFont="1">
      <alignment horizontal="center" readingOrder="0" shrinkToFit="0" wrapText="1"/>
    </xf>
    <xf borderId="27" fillId="0" fontId="36" numFmtId="167" xfId="0" applyAlignment="1" applyBorder="1" applyFont="1" applyNumberFormat="1">
      <alignment horizontal="left" readingOrder="0" shrinkToFit="0" vertical="center" wrapText="1"/>
    </xf>
    <xf borderId="25" fillId="24" fontId="28" numFmtId="0" xfId="0" applyAlignment="1" applyBorder="1" applyFill="1" applyFont="1">
      <alignment horizontal="center" readingOrder="0" shrinkToFit="0" vertical="center" wrapText="0"/>
    </xf>
    <xf borderId="27" fillId="0" fontId="36" numFmtId="0" xfId="0" applyAlignment="1" applyBorder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1" fillId="24" fontId="28" numFmtId="0" xfId="0" applyAlignment="1" applyBorder="1" applyFill="1" applyFont="1">
      <alignment shrinkToFit="0" vertical="center" wrapText="0"/>
    </xf>
    <xf borderId="28" fillId="0" fontId="36" numFmtId="0" xfId="0" applyAlignment="1" applyBorder="1" applyFont="1">
      <alignment horizontal="center" readingOrder="0" shrinkToFit="0" vertical="center" wrapText="1"/>
    </xf>
    <xf borderId="29" fillId="2" fontId="28" numFmtId="0" xfId="0" applyAlignment="1" applyBorder="1" applyFill="1" applyFont="1">
      <alignment horizontal="center" readingOrder="0" shrinkToFit="0" vertical="center" wrapText="0"/>
    </xf>
    <xf borderId="6" fillId="0" fontId="38" numFmtId="0" xfId="0" applyAlignment="1" applyBorder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30" fillId="0" fontId="39" numFmtId="9" xfId="0" applyAlignment="1" applyBorder="1" applyFont="1" applyNumberFormat="1">
      <alignment horizontal="center" shrinkToFit="0" vertical="center" wrapText="0"/>
    </xf>
    <xf borderId="31" fillId="0" fontId="39" numFmtId="166" xfId="0" applyAlignment="1" applyBorder="1" applyFont="1" applyNumberFormat="1">
      <alignment horizontal="center" shrinkToFit="0" vertical="center" wrapText="0"/>
    </xf>
    <xf borderId="31" fillId="0" fontId="39" numFmtId="0" xfId="0" applyAlignment="1" applyBorder="1" applyFont="1">
      <alignment horizontal="center" shrinkToFit="0" vertical="center" wrapText="0"/>
    </xf>
    <xf borderId="31" fillId="2" fontId="39" numFmtId="0" xfId="0" applyAlignment="1" applyBorder="1" applyFill="1" applyFont="1">
      <alignment horizontal="center" shrinkToFit="0" vertical="center" wrapText="0"/>
    </xf>
    <xf borderId="32" fillId="31" fontId="39" numFmtId="0" xfId="0" applyAlignment="1" applyBorder="1" applyFill="1" applyFont="1">
      <alignment horizontal="center" shrinkToFit="0" vertical="center" wrapText="0"/>
    </xf>
    <xf borderId="31" fillId="0" fontId="39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31" fillId="32" fontId="39" numFmtId="0" xfId="0" applyAlignment="1" applyBorder="1" applyFill="1" applyFont="1">
      <alignment horizontal="center" shrinkToFit="0" vertical="center" wrapText="0"/>
    </xf>
    <xf borderId="33" fillId="24" fontId="28" numFmtId="0" xfId="0" applyAlignment="1" applyBorder="1" applyFill="1" applyFont="1">
      <alignment horizontal="center" readingOrder="0" shrinkToFit="0" vertical="center" wrapText="0"/>
    </xf>
    <xf borderId="31" fillId="33" fontId="39" numFmtId="0" xfId="0" applyAlignment="1" applyBorder="1" applyFill="1" applyFont="1">
      <alignment horizontal="center" shrinkToFit="0" vertical="center" wrapText="0"/>
    </xf>
    <xf borderId="31" fillId="10" fontId="39" numFmtId="0" xfId="0" applyAlignment="1" applyBorder="1" applyFill="1" applyFont="1">
      <alignment horizontal="center" shrinkToFit="0" vertical="center" wrapText="0"/>
    </xf>
    <xf borderId="34" fillId="0" fontId="39" numFmtId="0" xfId="0" applyAlignment="1" applyBorder="1" applyFont="1">
      <alignment horizontal="center" shrinkToFit="0" vertical="center" wrapText="0"/>
    </xf>
    <xf borderId="6" fillId="0" fontId="40" numFmtId="0" xfId="0" applyAlignment="1" applyBorder="1" applyFont="1">
      <alignment horizontal="center" readingOrder="0" shrinkToFit="0" vertical="center" wrapText="1"/>
    </xf>
    <xf borderId="35" fillId="0" fontId="39" numFmtId="9" xfId="0" applyAlignment="1" applyBorder="1" applyFont="1" applyNumberFormat="1">
      <alignment horizontal="center" shrinkToFit="0" vertical="center" wrapText="0"/>
    </xf>
    <xf borderId="32" fillId="0" fontId="39" numFmtId="166" xfId="0" applyAlignment="1" applyBorder="1" applyFont="1" applyNumberFormat="1">
      <alignment horizontal="center" shrinkToFit="0" vertical="center" wrapText="0"/>
    </xf>
    <xf borderId="32" fillId="0" fontId="39" numFmtId="0" xfId="0" applyAlignment="1" applyBorder="1" applyFont="1">
      <alignment horizontal="center" shrinkToFit="0" vertical="center" wrapText="0"/>
    </xf>
    <xf borderId="32" fillId="0" fontId="39" numFmtId="0" xfId="0" applyAlignment="1" applyBorder="1" applyFont="1">
      <alignment horizontal="center" shrinkToFit="0" vertical="center" wrapText="0"/>
    </xf>
    <xf borderId="32" fillId="32" fontId="39" numFmtId="0" xfId="0" applyAlignment="1" applyBorder="1" applyFill="1" applyFont="1">
      <alignment horizontal="center" shrinkToFit="0" vertical="center" wrapText="0"/>
    </xf>
    <xf borderId="32" fillId="33" fontId="39" numFmtId="0" xfId="0" applyAlignment="1" applyBorder="1" applyFill="1" applyFont="1">
      <alignment horizontal="center" shrinkToFit="0" vertical="center" wrapText="0"/>
    </xf>
    <xf borderId="32" fillId="10" fontId="39" numFmtId="0" xfId="0" applyAlignment="1" applyBorder="1" applyFill="1" applyFont="1">
      <alignment horizontal="center" shrinkToFit="0" vertical="center" wrapText="0"/>
    </xf>
    <xf borderId="36" fillId="0" fontId="39" numFmtId="0" xfId="0" applyAlignment="1" applyBorder="1" applyFont="1">
      <alignment horizontal="center" shrinkToFit="0" vertical="center" wrapText="0"/>
    </xf>
    <xf borderId="22" fillId="2" fontId="28" numFmtId="0" xfId="0" applyAlignment="1" applyBorder="1" applyFill="1" applyFont="1">
      <alignment horizontal="center" readingOrder="0" shrinkToFit="0" vertical="center" wrapText="0"/>
    </xf>
    <xf borderId="32" fillId="2" fontId="39" numFmtId="0" xfId="0" applyAlignment="1" applyBorder="1" applyFill="1" applyFont="1">
      <alignment horizontal="center" shrinkToFit="0" vertical="center" wrapText="0"/>
    </xf>
    <xf borderId="1" fillId="2" fontId="28" numFmtId="0" xfId="0" applyAlignment="1" applyBorder="1" applyFill="1" applyFont="1">
      <alignment shrinkToFit="0" vertical="center" wrapText="0"/>
    </xf>
    <xf borderId="23" fillId="24" fontId="28" numFmtId="0" xfId="0" applyAlignment="1" applyBorder="1" applyFill="1" applyFont="1">
      <alignment horizontal="center" shrinkToFit="0" vertical="center" wrapText="0"/>
    </xf>
    <xf borderId="23" fillId="24" fontId="28" numFmtId="0" xfId="0" applyAlignment="1" applyBorder="1" applyFill="1" applyFont="1">
      <alignment horizontal="center" shrinkToFit="0" vertical="center" wrapText="0"/>
    </xf>
    <xf borderId="1" fillId="24" fontId="28" numFmtId="0" xfId="0" applyAlignment="1" applyBorder="1" applyFill="1" applyFont="1">
      <alignment shrinkToFit="0" vertical="center" wrapText="0"/>
    </xf>
    <xf borderId="6" fillId="0" fontId="41" numFmtId="0" xfId="0" applyAlignment="1" applyBorder="1" applyFont="1">
      <alignment horizontal="center" readingOrder="0" vertical="center"/>
    </xf>
    <xf borderId="1" fillId="0" fontId="36" numFmtId="9" xfId="0" applyAlignment="1" applyBorder="1" applyFont="1" applyNumberFormat="1">
      <alignment horizontal="center" readingOrder="0" shrinkToFit="0" vertical="center" wrapText="1"/>
    </xf>
    <xf borderId="37" fillId="0" fontId="39" numFmtId="9" xfId="0" applyAlignment="1" applyBorder="1" applyFont="1" applyNumberFormat="1">
      <alignment horizontal="center" shrinkToFit="0" vertical="center" wrapText="0"/>
    </xf>
    <xf borderId="38" fillId="0" fontId="39" numFmtId="166" xfId="0" applyAlignment="1" applyBorder="1" applyFont="1" applyNumberFormat="1">
      <alignment horizontal="center" shrinkToFit="0" vertical="center" wrapText="0"/>
    </xf>
    <xf borderId="38" fillId="0" fontId="39" numFmtId="0" xfId="0" applyAlignment="1" applyBorder="1" applyFont="1">
      <alignment horizontal="center" shrinkToFit="0" vertical="center" wrapText="0"/>
    </xf>
    <xf borderId="38" fillId="2" fontId="39" numFmtId="0" xfId="0" applyAlignment="1" applyBorder="1" applyFill="1" applyFont="1">
      <alignment horizontal="center" shrinkToFit="0" vertical="center" wrapText="0"/>
    </xf>
    <xf borderId="38" fillId="32" fontId="39" numFmtId="0" xfId="0" applyAlignment="1" applyBorder="1" applyFill="1" applyFont="1">
      <alignment horizontal="center" shrinkToFit="0" vertical="center" wrapText="0"/>
    </xf>
    <xf borderId="38" fillId="33" fontId="39" numFmtId="0" xfId="0" applyAlignment="1" applyBorder="1" applyFill="1" applyFont="1">
      <alignment horizontal="center" shrinkToFit="0" vertical="center" wrapText="0"/>
    </xf>
    <xf borderId="38" fillId="10" fontId="39" numFmtId="0" xfId="0" applyAlignment="1" applyBorder="1" applyFill="1" applyFont="1">
      <alignment horizontal="center" shrinkToFit="0" vertical="center" wrapText="0"/>
    </xf>
    <xf borderId="39" fillId="0" fontId="39" numFmtId="0" xfId="0" applyAlignment="1" applyBorder="1" applyFont="1">
      <alignment horizontal="center" shrinkToFit="0" vertical="center" wrapText="0"/>
    </xf>
    <xf borderId="6" fillId="0" fontId="42" numFmtId="0" xfId="0" applyAlignment="1" applyBorder="1" applyFont="1">
      <alignment horizontal="center" readingOrder="0" vertical="center"/>
    </xf>
    <xf borderId="40" fillId="0" fontId="36" numFmtId="0" xfId="0" applyAlignment="1" applyBorder="1" applyFont="1">
      <alignment readingOrder="0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1" fillId="2" fontId="28" numFmtId="0" xfId="0" applyAlignment="1" applyBorder="1" applyFill="1" applyFont="1">
      <alignment shrinkToFit="0" vertical="center" wrapText="0"/>
    </xf>
    <xf borderId="20" fillId="0" fontId="36" numFmtId="0" xfId="0" applyAlignment="1" applyBorder="1" applyFont="1">
      <alignment readingOrder="0" shrinkToFit="0" vertical="center" wrapText="1"/>
    </xf>
    <xf borderId="0" fillId="0" fontId="36" numFmtId="9" xfId="0" applyAlignment="1" applyFont="1" applyNumberFormat="1">
      <alignment horizontal="center" readingOrder="0" shrinkToFit="0" vertical="center" wrapText="1"/>
    </xf>
    <xf borderId="0" fillId="0" fontId="39" numFmtId="9" xfId="0" applyAlignment="1" applyFont="1" applyNumberFormat="1">
      <alignment horizontal="center" shrinkToFit="0" vertical="center" wrapText="0"/>
    </xf>
    <xf borderId="0" fillId="0" fontId="39" numFmtId="166" xfId="0" applyAlignment="1" applyFont="1" applyNumberFormat="1">
      <alignment horizontal="center" shrinkToFit="0" vertical="center" wrapText="0"/>
    </xf>
    <xf borderId="0" fillId="0" fontId="39" numFmtId="0" xfId="0" applyAlignment="1" applyFont="1">
      <alignment horizontal="center" shrinkToFit="0" vertical="center" wrapText="0"/>
    </xf>
    <xf borderId="0" fillId="31" fontId="39" numFmtId="0" xfId="0" applyAlignment="1" applyFill="1" applyFont="1">
      <alignment horizontal="center" shrinkToFit="0" vertical="center" wrapText="0"/>
    </xf>
    <xf borderId="0" fillId="2" fontId="39" numFmtId="0" xfId="0" applyAlignment="1" applyFill="1" applyFont="1">
      <alignment horizontal="center" shrinkToFit="0" vertical="center" wrapText="0"/>
    </xf>
    <xf borderId="0" fillId="32" fontId="39" numFmtId="0" xfId="0" applyAlignment="1" applyFill="1" applyFont="1">
      <alignment horizontal="center" shrinkToFit="0" vertical="center" wrapText="0"/>
    </xf>
    <xf borderId="0" fillId="33" fontId="39" numFmtId="0" xfId="0" applyAlignment="1" applyFill="1" applyFont="1">
      <alignment horizontal="center" shrinkToFit="0" vertical="center" wrapText="0"/>
    </xf>
    <xf borderId="0" fillId="10" fontId="39" numFmtId="0" xfId="0" applyAlignment="1" applyFill="1" applyFont="1">
      <alignment horizontal="center" shrinkToFit="0" vertical="center" wrapText="0"/>
    </xf>
    <xf borderId="0" fillId="2" fontId="28" numFmtId="0" xfId="0" applyAlignment="1" applyFill="1" applyFont="1">
      <alignment horizontal="center" shrinkToFit="0" vertical="center" wrapText="0"/>
    </xf>
    <xf borderId="26" fillId="29" fontId="34" numFmtId="167" xfId="0" applyAlignment="1" applyBorder="1" applyFill="1" applyFont="1" applyNumberFormat="1">
      <alignment readingOrder="0" shrinkToFit="0" vertical="center" wrapText="1"/>
    </xf>
    <xf borderId="28" fillId="29" fontId="34" numFmtId="0" xfId="0" applyAlignment="1" applyBorder="1" applyFill="1" applyFont="1">
      <alignment readingOrder="0" shrinkToFit="0" vertical="center" wrapText="1"/>
    </xf>
    <xf borderId="6" fillId="0" fontId="36" numFmtId="0" xfId="0" applyAlignment="1" applyBorder="1" applyFont="1">
      <alignment horizontal="center" readingOrder="0" shrinkToFit="0" vertical="center" wrapText="1"/>
    </xf>
    <xf borderId="0" fillId="24" fontId="28" numFmtId="0" xfId="0" applyAlignment="1" applyFill="1" applyFont="1">
      <alignment horizontal="center" shrinkToFit="0" vertical="center" wrapText="0"/>
    </xf>
    <xf borderId="41" fillId="0" fontId="39" numFmtId="9" xfId="0" applyAlignment="1" applyBorder="1" applyFont="1" applyNumberFormat="1">
      <alignment horizontal="center" shrinkToFit="0" vertical="center" wrapText="0"/>
    </xf>
    <xf borderId="31" fillId="31" fontId="39" numFmtId="0" xfId="0" applyAlignment="1" applyBorder="1" applyFill="1" applyFont="1">
      <alignment horizontal="center" shrinkToFit="0" vertical="center" wrapText="0"/>
    </xf>
    <xf borderId="29" fillId="2" fontId="28" numFmtId="0" xfId="0" applyAlignment="1" applyBorder="1" applyFill="1" applyFont="1">
      <alignment horizontal="center" shrinkToFit="0" vertical="center" wrapText="0"/>
    </xf>
    <xf borderId="42" fillId="0" fontId="39" numFmtId="9" xfId="0" applyAlignment="1" applyBorder="1" applyFont="1" applyNumberFormat="1">
      <alignment horizontal="center" shrinkToFit="0" vertical="center" wrapText="0"/>
    </xf>
    <xf borderId="32" fillId="31" fontId="39" numFmtId="0" xfId="0" applyAlignment="1" applyBorder="1" applyFill="1" applyFont="1">
      <alignment horizontal="center" shrinkToFit="0" vertical="center" wrapText="0"/>
    </xf>
    <xf borderId="0" fillId="0" fontId="36" numFmtId="0" xfId="0" applyAlignment="1" applyFont="1">
      <alignment readingOrder="0" shrinkToFit="0" vertical="center" wrapText="1"/>
    </xf>
    <xf borderId="0" fillId="0" fontId="37" numFmtId="0" xfId="0" applyAlignment="1" applyFont="1">
      <alignment readingOrder="0" vertical="bottom"/>
    </xf>
    <xf borderId="0" fillId="0" fontId="37" numFmtId="0" xfId="0" applyAlignment="1" applyFont="1">
      <alignment vertical="bottom"/>
    </xf>
    <xf borderId="6" fillId="0" fontId="36" numFmtId="9" xfId="0" applyAlignment="1" applyBorder="1" applyFont="1" applyNumberFormat="1">
      <alignment horizontal="center" readingOrder="0" shrinkToFit="0" vertical="center" wrapText="1"/>
    </xf>
    <xf borderId="43" fillId="0" fontId="36" numFmtId="0" xfId="0" applyAlignment="1" applyBorder="1" applyFont="1">
      <alignment horizontal="left" readingOrder="0" shrinkToFit="0" vertical="center" wrapText="1"/>
    </xf>
    <xf borderId="43" fillId="0" fontId="36" numFmtId="0" xfId="0" applyAlignment="1" applyBorder="1" applyFont="1">
      <alignment readingOrder="0" shrinkToFit="0" vertical="center" wrapText="1"/>
    </xf>
    <xf borderId="0" fillId="0" fontId="37" numFmtId="0" xfId="0" applyAlignment="1" applyFont="1">
      <alignment horizontal="center" readingOrder="0" vertical="bottom"/>
    </xf>
    <xf borderId="28" fillId="0" fontId="36" numFmtId="9" xfId="0" applyAlignment="1" applyBorder="1" applyFont="1" applyNumberFormat="1">
      <alignment horizontal="center" readingOrder="0" shrinkToFit="0" vertical="center" wrapText="1"/>
    </xf>
    <xf borderId="44" fillId="34" fontId="43" numFmtId="0" xfId="0" applyAlignment="1" applyBorder="1" applyFill="1" applyFont="1">
      <alignment horizontal="left" readingOrder="0" shrinkToFit="0" vertical="center" wrapText="0"/>
    </xf>
    <xf borderId="45" fillId="0" fontId="36" numFmtId="0" xfId="0" applyAlignment="1" applyBorder="1" applyFont="1">
      <alignment horizontal="left" readingOrder="0" shrinkToFit="0" vertical="center" wrapText="1"/>
    </xf>
    <xf borderId="45" fillId="0" fontId="16" numFmtId="0" xfId="0" applyAlignment="1" applyBorder="1" applyFont="1">
      <alignment readingOrder="0"/>
    </xf>
    <xf borderId="45" fillId="0" fontId="36" numFmtId="0" xfId="0" applyAlignment="1" applyBorder="1" applyFont="1">
      <alignment readingOrder="0" shrinkToFit="0" vertical="center" wrapText="1"/>
    </xf>
    <xf borderId="46" fillId="34" fontId="43" numFmtId="0" xfId="0" applyAlignment="1" applyBorder="1" applyFill="1" applyFont="1">
      <alignment horizontal="left" readingOrder="0" shrinkToFit="0" vertical="center" wrapText="0"/>
    </xf>
    <xf borderId="45" fillId="0" fontId="36" numFmtId="167" xfId="0" applyAlignment="1" applyBorder="1" applyFont="1" applyNumberFormat="1">
      <alignment horizontal="left" readingOrder="0" shrinkToFit="0" vertical="center" wrapText="1"/>
    </xf>
    <xf borderId="45" fillId="0" fontId="16" numFmtId="0" xfId="0" applyBorder="1" applyFont="1"/>
    <xf borderId="0" fillId="0" fontId="16" numFmtId="0" xfId="0" applyAlignment="1" applyFont="1">
      <alignment horizontal="left" readingOrder="0" shrinkToFit="0" vertical="center" wrapText="0"/>
    </xf>
    <xf borderId="1" fillId="30" fontId="28" numFmtId="0" xfId="0" applyAlignment="1" applyBorder="1" applyFill="1" applyFont="1">
      <alignment horizontal="center" shrinkToFit="0" vertical="center" wrapText="0"/>
    </xf>
    <xf borderId="1" fillId="2" fontId="28" numFmtId="0" xfId="0" applyAlignment="1" applyBorder="1" applyFill="1" applyFont="1">
      <alignment horizontal="right" readingOrder="0" shrinkToFit="0" vertical="center" wrapText="0"/>
    </xf>
    <xf borderId="1" fillId="2" fontId="28" numFmtId="168" xfId="0" applyAlignment="1" applyBorder="1" applyFill="1" applyFont="1" applyNumberFormat="1">
      <alignment horizontal="right" readingOrder="0" shrinkToFit="0" vertical="center" wrapText="0"/>
    </xf>
    <xf borderId="1" fillId="2" fontId="28" numFmtId="0" xfId="0" applyAlignment="1" applyBorder="1" applyFill="1" applyFont="1">
      <alignment readingOrder="0" shrinkToFit="0" vertical="center" wrapText="1"/>
    </xf>
    <xf borderId="1" fillId="2" fontId="28" numFmtId="0" xfId="0" applyAlignment="1" applyBorder="1" applyFill="1" applyFont="1">
      <alignment readingOrder="0" shrinkToFit="0" vertical="center" wrapText="0"/>
    </xf>
    <xf borderId="1" fillId="30" fontId="28" numFmtId="0" xfId="0" applyAlignment="1" applyBorder="1" applyFill="1" applyFont="1">
      <alignment readingOrder="0" shrinkToFit="0" vertical="center" wrapText="0"/>
    </xf>
    <xf borderId="1" fillId="30" fontId="44" numFmtId="0" xfId="0" applyAlignment="1" applyBorder="1" applyFill="1" applyFont="1">
      <alignment readingOrder="0" shrinkToFit="0" vertical="center" wrapText="0"/>
    </xf>
    <xf borderId="0" fillId="29" fontId="45" numFmtId="0" xfId="0" applyAlignment="1" applyFill="1" applyFont="1">
      <alignment readingOrder="0" shrinkToFit="0" vertical="center" wrapText="1"/>
    </xf>
    <xf borderId="47" fillId="2" fontId="28" numFmtId="0" xfId="0" applyAlignment="1" applyBorder="1" applyFill="1" applyFont="1">
      <alignment horizontal="center" readingOrder="0" shrinkToFit="0" vertical="center" wrapText="0"/>
    </xf>
    <xf borderId="48" fillId="2" fontId="28" numFmtId="0" xfId="0" applyAlignment="1" applyBorder="1" applyFill="1" applyFont="1">
      <alignment horizontal="center" readingOrder="0" shrinkToFit="0" vertical="center" wrapText="0"/>
    </xf>
    <xf borderId="1" fillId="2" fontId="28" numFmtId="0" xfId="0" applyAlignment="1" applyBorder="1" applyFill="1" applyFont="1">
      <alignment horizontal="center" shrinkToFit="0" vertical="center" wrapText="0"/>
    </xf>
    <xf borderId="48" fillId="2" fontId="28" numFmtId="0" xfId="0" applyAlignment="1" applyBorder="1" applyFill="1" applyFont="1">
      <alignment horizontal="center" readingOrder="0" shrinkToFit="0" vertical="center" wrapText="0"/>
    </xf>
    <xf borderId="1" fillId="2" fontId="28" numFmtId="14" xfId="0" applyAlignment="1" applyBorder="1" applyFill="1" applyFont="1" applyNumberFormat="1">
      <alignment horizontal="right" shrinkToFit="0" vertical="center" wrapText="0"/>
    </xf>
    <xf borderId="49" fillId="2" fontId="28" numFmtId="0" xfId="0" applyAlignment="1" applyBorder="1" applyFill="1" applyFont="1">
      <alignment horizontal="center" readingOrder="0" shrinkToFit="0" vertical="center" wrapText="0"/>
    </xf>
    <xf borderId="1" fillId="2" fontId="28" numFmtId="168" xfId="0" applyAlignment="1" applyBorder="1" applyFill="1" applyFont="1" applyNumberFormat="1">
      <alignment shrinkToFit="0" vertical="center" wrapText="1"/>
    </xf>
    <xf borderId="1" fillId="2" fontId="28" numFmtId="0" xfId="0" applyAlignment="1" applyBorder="1" applyFill="1" applyFont="1">
      <alignment horizontal="right" shrinkToFit="0" vertical="center" wrapText="0"/>
    </xf>
    <xf borderId="27" fillId="0" fontId="16" numFmtId="0" xfId="0" applyAlignment="1" applyBorder="1" applyFont="1">
      <alignment readingOrder="0"/>
    </xf>
    <xf borderId="1" fillId="2" fontId="28" numFmtId="0" xfId="0" applyAlignment="1" applyBorder="1" applyFill="1" applyFont="1">
      <alignment readingOrder="0" shrinkToFit="0" vertical="center" wrapText="0"/>
    </xf>
    <xf borderId="0" fillId="2" fontId="28" numFmtId="0" xfId="0" applyAlignment="1" applyFill="1" applyFont="1">
      <alignment shrinkToFit="0" vertical="center" wrapText="0"/>
    </xf>
    <xf borderId="1" fillId="2" fontId="46" numFmtId="0" xfId="0" applyAlignment="1" applyBorder="1" applyFill="1" applyFont="1">
      <alignment readingOrder="0" shrinkToFit="0" vertical="center" wrapText="0"/>
    </xf>
    <xf borderId="20" fillId="0" fontId="36" numFmtId="0" xfId="0" applyAlignment="1" applyBorder="1" applyFont="1">
      <alignment horizontal="left" readingOrder="0" shrinkToFit="0" vertical="center" wrapText="1"/>
    </xf>
    <xf borderId="20" fillId="0" fontId="36" numFmtId="167" xfId="0" applyAlignment="1" applyBorder="1" applyFont="1" applyNumberFormat="1">
      <alignment horizontal="left" readingOrder="0" shrinkToFit="0" vertical="center" wrapText="1"/>
    </xf>
    <xf borderId="0" fillId="2" fontId="28" numFmtId="0" xfId="0" applyAlignment="1" applyFill="1" applyFont="1">
      <alignment horizontal="center" shrinkToFit="0" vertical="center" wrapText="0"/>
    </xf>
    <xf borderId="1" fillId="30" fontId="28" numFmtId="0" xfId="0" applyAlignment="1" applyBorder="1" applyFill="1" applyFont="1">
      <alignment horizontal="right" readingOrder="0" shrinkToFit="0" vertical="center" wrapText="0"/>
    </xf>
    <xf borderId="1" fillId="24" fontId="28" numFmtId="14" xfId="0" applyAlignment="1" applyBorder="1" applyFill="1" applyFont="1" applyNumberFormat="1">
      <alignment horizontal="right" shrinkToFit="0" vertical="center" wrapText="0"/>
    </xf>
    <xf borderId="1" fillId="24" fontId="28" numFmtId="168" xfId="0" applyAlignment="1" applyBorder="1" applyFill="1" applyFont="1" applyNumberFormat="1">
      <alignment shrinkToFit="0" vertical="center" wrapText="1"/>
    </xf>
    <xf borderId="1" fillId="24" fontId="28" numFmtId="0" xfId="0" applyAlignment="1" applyBorder="1" applyFill="1" applyFont="1">
      <alignment shrinkToFit="0" vertical="center" wrapText="0"/>
    </xf>
    <xf borderId="0" fillId="0" fontId="16" numFmtId="0" xfId="0" applyAlignment="1" applyFont="1">
      <alignment shrinkToFit="0" wrapText="0"/>
    </xf>
    <xf borderId="0" fillId="0" fontId="16" numFmtId="0" xfId="0" applyAlignment="1" applyFont="1">
      <alignment shrinkToFit="0" wrapText="0"/>
    </xf>
    <xf borderId="1" fillId="2" fontId="28" numFmtId="0" xfId="0" applyAlignment="1" applyBorder="1" applyFill="1" applyFont="1">
      <alignment shrinkToFit="0" vertical="center" wrapText="0"/>
    </xf>
    <xf borderId="1" fillId="30" fontId="47" numFmtId="0" xfId="0" applyAlignment="1" applyBorder="1" applyFill="1" applyFont="1">
      <alignment readingOrder="0" shrinkToFit="0" vertical="center" wrapText="0"/>
    </xf>
    <xf borderId="1" fillId="0" fontId="16" numFmtId="14" xfId="0" applyAlignment="1" applyBorder="1" applyFont="1" applyNumberFormat="1">
      <alignment readingOrder="0" shrinkToFit="0" vertical="center" wrapText="0"/>
    </xf>
    <xf borderId="1" fillId="0" fontId="16" numFmtId="0" xfId="0" applyAlignment="1" applyBorder="1" applyFont="1">
      <alignment readingOrder="0" shrinkToFit="0" vertical="center" wrapText="1"/>
    </xf>
    <xf borderId="1" fillId="30" fontId="28" numFmtId="0" xfId="0" applyAlignment="1" applyBorder="1" applyFill="1" applyFont="1">
      <alignment shrinkToFit="0" vertical="center" wrapText="0"/>
    </xf>
    <xf borderId="1" fillId="2" fontId="48" numFmtId="0" xfId="0" applyAlignment="1" applyBorder="1" applyFill="1" applyFont="1">
      <alignment readingOrder="0" shrinkToFit="0" vertical="center" wrapText="0"/>
    </xf>
    <xf borderId="1" fillId="0" fontId="16" numFmtId="14" xfId="0" applyAlignment="1" applyBorder="1" applyFont="1" applyNumberFormat="1">
      <alignment readingOrder="0" shrinkToFit="0" vertical="center" wrapText="0"/>
    </xf>
    <xf borderId="1" fillId="0" fontId="1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0"/>
    </xf>
    <xf borderId="6" fillId="0" fontId="16" numFmtId="0" xfId="0" applyBorder="1" applyFont="1"/>
    <xf borderId="1" fillId="24" fontId="49" numFmtId="0" xfId="0" applyAlignment="1" applyBorder="1" applyFill="1" applyFont="1">
      <alignment shrinkToFit="0" vertical="center" wrapText="0"/>
    </xf>
    <xf borderId="0" fillId="35" fontId="37" numFmtId="0" xfId="0" applyAlignment="1" applyFill="1" applyFont="1">
      <alignment horizontal="center" readingOrder="0" shrinkToFit="0" wrapText="1"/>
    </xf>
    <xf borderId="0" fillId="0" fontId="37" numFmtId="0" xfId="0" applyAlignment="1" applyFont="1">
      <alignment horizontal="center" readingOrder="0" shrinkToFit="0" wrapText="1"/>
    </xf>
    <xf borderId="0" fillId="0" fontId="36" numFmtId="167" xfId="0" applyAlignment="1" applyFont="1" applyNumberFormat="1">
      <alignment horizontal="left" readingOrder="0" shrinkToFit="0" vertical="center" wrapText="1"/>
    </xf>
    <xf borderId="28" fillId="0" fontId="37" numFmtId="9" xfId="0" applyAlignment="1" applyBorder="1" applyFont="1" applyNumberFormat="1">
      <alignment horizontal="center"/>
    </xf>
    <xf borderId="1" fillId="30" fontId="28" numFmtId="0" xfId="0" applyAlignment="1" applyBorder="1" applyFill="1" applyFont="1">
      <alignment shrinkToFit="0" vertical="center" wrapText="0"/>
    </xf>
    <xf borderId="0" fillId="0" fontId="50" numFmtId="0" xfId="0" applyAlignment="1" applyFont="1">
      <alignment horizontal="center" readingOrder="0" shrinkToFit="0" vertical="center" wrapText="1"/>
    </xf>
    <xf borderId="0" fillId="0" fontId="39" numFmtId="0" xfId="0" applyAlignment="1" applyFont="1">
      <alignment horizontal="center" shrinkToFit="0" vertical="center" wrapText="0"/>
    </xf>
    <xf borderId="1" fillId="35" fontId="37" numFmtId="0" xfId="0" applyAlignment="1" applyBorder="1" applyFill="1" applyFont="1">
      <alignment horizontal="center" shrinkToFit="0" wrapText="1"/>
    </xf>
    <xf borderId="1" fillId="0" fontId="37" numFmtId="0" xfId="0" applyAlignment="1" applyBorder="1" applyFont="1">
      <alignment horizontal="center" shrinkToFit="0" wrapText="1"/>
    </xf>
    <xf borderId="6" fillId="0" fontId="51" numFmtId="0" xfId="0" applyAlignment="1" applyBorder="1" applyFont="1">
      <alignment horizontal="center" readingOrder="0" shrinkToFit="0" vertical="center" wrapText="1"/>
    </xf>
    <xf borderId="6" fillId="0" fontId="52" numFmtId="0" xfId="0" applyAlignment="1" applyBorder="1" applyFont="1">
      <alignment horizontal="center" readingOrder="0" shrinkToFit="0" vertical="center" wrapText="1"/>
    </xf>
    <xf borderId="1" fillId="35" fontId="37" numFmtId="0" xfId="0" applyAlignment="1" applyBorder="1" applyFill="1" applyFont="1">
      <alignment horizontal="center"/>
    </xf>
    <xf borderId="1" fillId="0" fontId="28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horizontal="right" readingOrder="0" shrinkToFit="0" vertical="center" wrapText="0"/>
    </xf>
    <xf borderId="1" fillId="2" fontId="28" numFmtId="14" xfId="0" applyAlignment="1" applyBorder="1" applyFill="1" applyFont="1" applyNumberFormat="1">
      <alignment shrinkToFit="0" vertical="center" wrapText="1"/>
    </xf>
    <xf borderId="28" fillId="2" fontId="37" numFmtId="9" xfId="0" applyAlignment="1" applyBorder="1" applyFill="1" applyFont="1" applyNumberFormat="1">
      <alignment horizontal="center"/>
    </xf>
    <xf borderId="1" fillId="2" fontId="53" numFmtId="0" xfId="0" applyAlignment="1" applyBorder="1" applyFill="1" applyFont="1">
      <alignment shrinkToFit="0" vertical="center" wrapText="0"/>
    </xf>
    <xf borderId="1" fillId="0" fontId="28" numFmtId="0" xfId="0" applyAlignment="1" applyBorder="1" applyFont="1">
      <alignment readingOrder="0" shrinkToFit="0" vertical="center" wrapText="0"/>
    </xf>
    <xf borderId="1" fillId="10" fontId="37" numFmtId="0" xfId="0" applyAlignment="1" applyBorder="1" applyFill="1" applyFont="1">
      <alignment horizontal="center"/>
    </xf>
    <xf borderId="1" fillId="24" fontId="28" numFmtId="14" xfId="0" applyAlignment="1" applyBorder="1" applyFill="1" applyFont="1" applyNumberFormat="1">
      <alignment shrinkToFit="0" vertical="center" wrapText="1"/>
    </xf>
    <xf borderId="1" fillId="24" fontId="28" numFmtId="0" xfId="0" applyAlignment="1" applyBorder="1" applyFill="1" applyFont="1">
      <alignment horizontal="right" shrinkToFit="0" vertical="center" wrapText="0"/>
    </xf>
    <xf borderId="28" fillId="2" fontId="16" numFmtId="9" xfId="0" applyAlignment="1" applyBorder="1" applyFill="1" applyFont="1" applyNumberFormat="1">
      <alignment horizontal="center" readingOrder="0" vertical="center"/>
    </xf>
    <xf borderId="3" fillId="10" fontId="37" numFmtId="0" xfId="0" applyAlignment="1" applyBorder="1" applyFill="1" applyFont="1">
      <alignment horizontal="center"/>
    </xf>
    <xf borderId="3" fillId="0" fontId="37" numFmtId="0" xfId="0" applyAlignment="1" applyBorder="1" applyFont="1">
      <alignment horizontal="center" shrinkToFit="0" wrapText="1"/>
    </xf>
    <xf borderId="50" fillId="2" fontId="16" numFmtId="9" xfId="0" applyAlignment="1" applyBorder="1" applyFill="1" applyFont="1" applyNumberFormat="1">
      <alignment horizontal="center" readingOrder="0" vertical="center"/>
    </xf>
    <xf borderId="27" fillId="0" fontId="10" numFmtId="0" xfId="0" applyBorder="1" applyFont="1"/>
    <xf borderId="51" fillId="0" fontId="10" numFmtId="0" xfId="0" applyBorder="1" applyFont="1"/>
    <xf borderId="1" fillId="0" fontId="28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1" fillId="10" fontId="37" numFmtId="0" xfId="0" applyAlignment="1" applyBorder="1" applyFill="1" applyFont="1">
      <alignment horizontal="center" readingOrder="0"/>
    </xf>
    <xf borderId="0" fillId="10" fontId="37" numFmtId="0" xfId="0" applyAlignment="1" applyFill="1" applyFont="1">
      <alignment horizontal="center" readingOrder="0"/>
    </xf>
    <xf borderId="1" fillId="2" fontId="28" numFmtId="0" xfId="0" applyAlignment="1" applyBorder="1" applyFill="1" applyFont="1">
      <alignment horizontal="center" readingOrder="0" shrinkToFit="0" vertical="center" wrapText="0"/>
    </xf>
    <xf borderId="0" fillId="0" fontId="54" numFmtId="0" xfId="0" applyAlignment="1" applyFont="1">
      <alignment horizontal="center" vertical="bottom"/>
    </xf>
    <xf borderId="1" fillId="36" fontId="55" numFmtId="0" xfId="0" applyAlignment="1" applyBorder="1" applyFill="1" applyFont="1">
      <alignment horizontal="center" vertical="bottom"/>
    </xf>
    <xf borderId="1" fillId="9" fontId="56" numFmtId="0" xfId="0" applyAlignment="1" applyBorder="1" applyFill="1" applyFont="1">
      <alignment horizontal="right" vertical="bottom"/>
    </xf>
    <xf borderId="1" fillId="9" fontId="37" numFmtId="0" xfId="0" applyAlignment="1" applyBorder="1" applyFill="1" applyFont="1">
      <alignment vertical="bottom"/>
    </xf>
    <xf borderId="1" fillId="9" fontId="37" numFmtId="169" xfId="0" applyAlignment="1" applyBorder="1" applyFill="1" applyFont="1" applyNumberFormat="1">
      <alignment horizontal="center" vertical="bottom"/>
    </xf>
    <xf borderId="1" fillId="0" fontId="37" numFmtId="0" xfId="0" applyAlignment="1" applyBorder="1" applyFont="1">
      <alignment horizontal="right" vertical="bottom"/>
    </xf>
    <xf borderId="1" fillId="0" fontId="37" numFmtId="0" xfId="0" applyAlignment="1" applyBorder="1" applyFont="1">
      <alignment vertical="bottom"/>
    </xf>
    <xf borderId="1" fillId="0" fontId="37" numFmtId="169" xfId="0" applyAlignment="1" applyBorder="1" applyFont="1" applyNumberFormat="1">
      <alignment horizontal="center" vertical="bottom"/>
    </xf>
    <xf borderId="1" fillId="0" fontId="57" numFmtId="0" xfId="0" applyAlignment="1" applyBorder="1" applyFont="1">
      <alignment vertical="bottom"/>
    </xf>
    <xf borderId="1" fillId="0" fontId="37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37" numFmtId="169" xfId="0" applyAlignment="1" applyBorder="1" applyFont="1" applyNumberFormat="1">
      <alignment vertical="bottom"/>
    </xf>
    <xf borderId="1" fillId="30" fontId="37" numFmtId="0" xfId="0" applyAlignment="1" applyBorder="1" applyFill="1" applyFont="1">
      <alignment readingOrder="0" shrinkToFit="0" vertical="center" wrapText="0"/>
    </xf>
    <xf borderId="1" fillId="9" fontId="37" numFmtId="0" xfId="0" applyAlignment="1" applyBorder="1" applyFill="1" applyFont="1">
      <alignment horizontal="right" vertical="bottom"/>
    </xf>
    <xf borderId="1" fillId="9" fontId="58" numFmtId="0" xfId="0" applyAlignment="1" applyBorder="1" applyFill="1" applyFont="1">
      <alignment vertical="bottom"/>
    </xf>
    <xf borderId="1" fillId="37" fontId="37" numFmtId="0" xfId="0" applyAlignment="1" applyBorder="1" applyFill="1" applyFont="1">
      <alignment horizontal="right" vertical="bottom"/>
    </xf>
    <xf borderId="1" fillId="37" fontId="59" numFmtId="0" xfId="0" applyAlignment="1" applyBorder="1" applyFill="1" applyFont="1">
      <alignment vertical="bottom"/>
    </xf>
    <xf borderId="1" fillId="37" fontId="37" numFmtId="169" xfId="0" applyAlignment="1" applyBorder="1" applyFill="1" applyFont="1" applyNumberFormat="1">
      <alignment vertical="bottom"/>
    </xf>
    <xf borderId="1" fillId="37" fontId="37" numFmtId="0" xfId="0" applyAlignment="1" applyBorder="1" applyFill="1" applyFont="1">
      <alignment vertical="bottom"/>
    </xf>
    <xf borderId="0" fillId="9" fontId="37" numFmtId="0" xfId="0" applyAlignment="1" applyFill="1" applyFont="1">
      <alignment vertical="bottom"/>
    </xf>
    <xf borderId="0" fillId="0" fontId="60" numFmtId="0" xfId="0" applyAlignment="1" applyFont="1">
      <alignment vertical="bottom"/>
    </xf>
    <xf borderId="0" fillId="0" fontId="37" numFmtId="169" xfId="0" applyAlignment="1" applyFont="1" applyNumberFormat="1">
      <alignment vertical="bottom"/>
    </xf>
    <xf borderId="1" fillId="5" fontId="55" numFmtId="0" xfId="0" applyAlignment="1" applyBorder="1" applyFill="1" applyFont="1">
      <alignment horizontal="center" vertical="bottom"/>
    </xf>
    <xf borderId="1" fillId="5" fontId="55" numFmtId="169" xfId="0" applyAlignment="1" applyBorder="1" applyFill="1" applyFont="1" applyNumberFormat="1">
      <alignment horizontal="center" vertical="bottom"/>
    </xf>
    <xf borderId="1" fillId="0" fontId="61" numFmtId="0" xfId="0" applyAlignment="1" applyBorder="1" applyFont="1">
      <alignment horizontal="right" vertical="bottom"/>
    </xf>
    <xf borderId="1" fillId="10" fontId="37" numFmtId="0" xfId="0" applyAlignment="1" applyBorder="1" applyFill="1" applyFont="1">
      <alignment horizontal="right" vertical="bottom"/>
    </xf>
    <xf borderId="1" fillId="10" fontId="37" numFmtId="0" xfId="0" applyAlignment="1" applyBorder="1" applyFill="1" applyFont="1">
      <alignment vertical="bottom"/>
    </xf>
    <xf borderId="1" fillId="10" fontId="37" numFmtId="169" xfId="0" applyAlignment="1" applyBorder="1" applyFill="1" applyFont="1" applyNumberFormat="1">
      <alignment vertical="bottom"/>
    </xf>
    <xf borderId="1" fillId="0" fontId="16" numFmtId="0" xfId="0" applyAlignment="1" applyBorder="1" applyFont="1">
      <alignment shrinkToFit="0" vertical="center" wrapText="0"/>
    </xf>
    <xf borderId="1" fillId="0" fontId="16" numFmtId="168" xfId="0" applyAlignment="1" applyBorder="1" applyFont="1" applyNumberFormat="1">
      <alignment shrinkToFit="0" vertical="center" wrapText="0"/>
    </xf>
    <xf borderId="1" fillId="0" fontId="16" numFmtId="0" xfId="0" applyAlignment="1" applyBorder="1" applyFont="1">
      <alignment shrinkToFit="0" vertical="center" wrapText="0"/>
    </xf>
    <xf borderId="1" fillId="0" fontId="16" numFmtId="0" xfId="0" applyAlignment="1" applyBorder="1" applyFont="1">
      <alignment shrinkToFit="0" vertical="center" wrapText="0"/>
    </xf>
    <xf borderId="1" fillId="30" fontId="28" numFmtId="0" xfId="0" applyAlignment="1" applyBorder="1" applyFill="1" applyFont="1">
      <alignment readingOrder="0" shrinkToFit="0" vertical="center" wrapText="0"/>
    </xf>
    <xf borderId="3" fillId="0" fontId="37" numFmtId="0" xfId="0" applyAlignment="1" applyBorder="1" applyFont="1">
      <alignment horizontal="right" vertical="bottom"/>
    </xf>
    <xf borderId="3" fillId="0" fontId="37" numFmtId="0" xfId="0" applyAlignment="1" applyBorder="1" applyFont="1">
      <alignment vertical="bottom"/>
    </xf>
    <xf borderId="3" fillId="0" fontId="37" numFmtId="169" xfId="0" applyAlignment="1" applyBorder="1" applyFont="1" applyNumberFormat="1">
      <alignment vertical="bottom"/>
    </xf>
    <xf borderId="1" fillId="0" fontId="37" numFmtId="0" xfId="0" applyAlignment="1" applyBorder="1" applyFont="1">
      <alignment horizontal="right" vertical="bottom"/>
    </xf>
    <xf borderId="1" fillId="0" fontId="37" numFmtId="0" xfId="0" applyAlignment="1" applyBorder="1" applyFont="1">
      <alignment vertical="bottom"/>
    </xf>
    <xf borderId="1" fillId="0" fontId="37" numFmtId="169" xfId="0" applyAlignment="1" applyBorder="1" applyFont="1" applyNumberFormat="1">
      <alignment vertical="bottom"/>
    </xf>
    <xf borderId="1" fillId="0" fontId="62" numFmtId="0" xfId="0" applyAlignment="1" applyBorder="1" applyFont="1">
      <alignment vertical="bottom"/>
    </xf>
    <xf borderId="1" fillId="2" fontId="28" numFmtId="0" xfId="0" applyAlignment="1" applyBorder="1" applyFill="1" applyFont="1">
      <alignment readingOrder="0" shrinkToFit="0" vertical="center" wrapText="0"/>
    </xf>
    <xf borderId="1" fillId="0" fontId="63" numFmtId="169" xfId="0" applyAlignment="1" applyBorder="1" applyFont="1" applyNumberFormat="1">
      <alignment vertical="bottom"/>
    </xf>
    <xf quotePrefix="1" borderId="1" fillId="0" fontId="37" numFmtId="169" xfId="0" applyAlignment="1" applyBorder="1" applyFont="1" applyNumberFormat="1">
      <alignment vertical="bottom"/>
    </xf>
    <xf borderId="1" fillId="0" fontId="64" numFmtId="169" xfId="0" applyAlignment="1" applyBorder="1" applyFont="1" applyNumberFormat="1">
      <alignment vertical="bottom"/>
    </xf>
    <xf borderId="1" fillId="38" fontId="37" numFmtId="0" xfId="0" applyAlignment="1" applyBorder="1" applyFill="1" applyFont="1">
      <alignment horizontal="right" vertical="bottom"/>
    </xf>
    <xf borderId="1" fillId="38" fontId="37" numFmtId="0" xfId="0" applyAlignment="1" applyBorder="1" applyFill="1" applyFont="1">
      <alignment vertical="bottom"/>
    </xf>
    <xf borderId="1" fillId="5" fontId="28" numFmtId="0" xfId="0" applyAlignment="1" applyBorder="1" applyFill="1" applyFont="1">
      <alignment shrinkToFit="0" vertical="center" wrapText="0"/>
    </xf>
    <xf quotePrefix="1" borderId="1" fillId="38" fontId="37" numFmtId="169" xfId="0" applyAlignment="1" applyBorder="1" applyFill="1" applyFont="1" applyNumberFormat="1">
      <alignment vertical="bottom"/>
    </xf>
    <xf borderId="0" fillId="38" fontId="37" numFmtId="0" xfId="0" applyAlignment="1" applyFill="1" applyFont="1">
      <alignment vertical="bottom"/>
    </xf>
    <xf borderId="1" fillId="30" fontId="37" numFmtId="0" xfId="0" applyAlignment="1" applyBorder="1" applyFill="1" applyFont="1">
      <alignment shrinkToFit="0" vertical="center" wrapText="0"/>
    </xf>
    <xf borderId="1" fillId="30" fontId="37" numFmtId="168" xfId="0" applyAlignment="1" applyBorder="1" applyFill="1" applyFont="1" applyNumberFormat="1">
      <alignment shrinkToFit="0" vertical="center" wrapText="0"/>
    </xf>
    <xf borderId="1" fillId="30" fontId="37" numFmtId="0" xfId="0" applyAlignment="1" applyBorder="1" applyFill="1" applyFont="1">
      <alignment shrinkToFit="0" vertical="center" wrapText="0"/>
    </xf>
    <xf borderId="1" fillId="30" fontId="28" numFmtId="0" xfId="0" applyAlignment="1" applyBorder="1" applyFill="1" applyFont="1">
      <alignment shrinkToFit="0" vertical="center" wrapText="0"/>
    </xf>
    <xf borderId="1" fillId="0" fontId="37" numFmtId="169" xfId="0" applyAlignment="1" applyBorder="1" applyFont="1" applyNumberFormat="1">
      <alignment horizontal="right" vertical="bottom"/>
    </xf>
    <xf borderId="1" fillId="2" fontId="37" numFmtId="0" xfId="0" applyAlignment="1" applyBorder="1" applyFill="1" applyFont="1">
      <alignment shrinkToFit="0" vertical="center" wrapText="0"/>
    </xf>
    <xf borderId="1" fillId="2" fontId="37" numFmtId="168" xfId="0" applyAlignment="1" applyBorder="1" applyFill="1" applyFont="1" applyNumberFormat="1">
      <alignment shrinkToFit="0" vertical="center" wrapText="0"/>
    </xf>
    <xf borderId="1" fillId="2" fontId="37" numFmtId="0" xfId="0" applyAlignment="1" applyBorder="1" applyFill="1" applyFont="1">
      <alignment shrinkToFit="0" vertical="center" wrapText="0"/>
    </xf>
    <xf borderId="1" fillId="10" fontId="37" numFmtId="0" xfId="0" applyAlignment="1" applyBorder="1" applyFill="1" applyFont="1">
      <alignment horizontal="right" vertical="bottom"/>
    </xf>
    <xf borderId="1" fillId="2" fontId="37" numFmtId="0" xfId="0" applyAlignment="1" applyBorder="1" applyFill="1" applyFont="1">
      <alignment shrinkToFit="0" vertical="center" wrapText="0"/>
    </xf>
    <xf borderId="1" fillId="10" fontId="37" numFmtId="0" xfId="0" applyAlignment="1" applyBorder="1" applyFill="1" applyFont="1">
      <alignment vertical="bottom"/>
    </xf>
    <xf quotePrefix="1" borderId="1" fillId="10" fontId="37" numFmtId="169" xfId="0" applyAlignment="1" applyBorder="1" applyFill="1" applyFont="1" applyNumberFormat="1">
      <alignment vertical="bottom"/>
    </xf>
    <xf borderId="1" fillId="0" fontId="37" numFmtId="0" xfId="0" applyAlignment="1" applyBorder="1" applyFont="1">
      <alignment horizontal="center" vertical="bottom"/>
    </xf>
    <xf borderId="1" fillId="0" fontId="37" numFmtId="169" xfId="0" applyAlignment="1" applyBorder="1" applyFont="1" applyNumberFormat="1">
      <alignment horizontal="right" vertical="bottom"/>
    </xf>
    <xf borderId="0" fillId="30" fontId="28" numFmtId="0" xfId="0" applyAlignment="1" applyFill="1" applyFont="1">
      <alignment shrinkToFit="0" wrapText="0"/>
    </xf>
    <xf borderId="0" fillId="30" fontId="28" numFmtId="0" xfId="0" applyAlignment="1" applyFill="1" applyFont="1">
      <alignment horizontal="right" shrinkToFit="0" wrapText="0"/>
    </xf>
    <xf borderId="0" fillId="30" fontId="28" numFmtId="170" xfId="0" applyAlignment="1" applyFill="1" applyFont="1" applyNumberFormat="1">
      <alignment horizontal="right" shrinkToFit="0" wrapText="0"/>
    </xf>
    <xf borderId="1" fillId="0" fontId="65" numFmtId="0" xfId="0" applyAlignment="1" applyBorder="1" applyFont="1">
      <alignment vertical="bottom"/>
    </xf>
    <xf borderId="0" fillId="0" fontId="37" numFmtId="0" xfId="0" applyAlignment="1" applyFont="1">
      <alignment horizontal="right" vertical="bottom"/>
    </xf>
    <xf borderId="1" fillId="39" fontId="37" numFmtId="0" xfId="0" applyAlignment="1" applyBorder="1" applyFill="1" applyFont="1">
      <alignment horizontal="right" vertical="bottom"/>
    </xf>
    <xf borderId="1" fillId="39" fontId="37" numFmtId="0" xfId="0" applyAlignment="1" applyBorder="1" applyFill="1" applyFont="1">
      <alignment vertical="bottom"/>
    </xf>
    <xf borderId="1" fillId="39" fontId="37" numFmtId="169" xfId="0" applyAlignment="1" applyBorder="1" applyFill="1" applyFont="1" applyNumberFormat="1">
      <alignment vertical="bottom"/>
    </xf>
    <xf borderId="0" fillId="2" fontId="37" numFmtId="169" xfId="0" applyAlignment="1" applyFill="1" applyFont="1" applyNumberFormat="1">
      <alignment vertical="bottom"/>
    </xf>
    <xf quotePrefix="1" borderId="1" fillId="0" fontId="37" numFmtId="0" xfId="0" applyAlignment="1" applyBorder="1" applyFont="1">
      <alignment vertical="bottom"/>
    </xf>
    <xf borderId="1" fillId="2" fontId="28" numFmtId="0" xfId="0" applyAlignment="1" applyBorder="1" applyFill="1" applyFont="1">
      <alignment horizontal="right" shrinkToFit="0" vertical="center" wrapText="0"/>
    </xf>
    <xf borderId="1" fillId="2" fontId="28" numFmtId="170" xfId="0" applyAlignment="1" applyBorder="1" applyFill="1" applyFont="1" applyNumberFormat="1">
      <alignment horizontal="right" shrinkToFit="0" vertical="center" wrapText="0"/>
    </xf>
    <xf borderId="3" fillId="0" fontId="37" numFmtId="0" xfId="0" applyAlignment="1" applyBorder="1" applyFont="1">
      <alignment horizontal="right" vertical="bottom"/>
    </xf>
    <xf borderId="3" fillId="0" fontId="37" numFmtId="0" xfId="0" applyAlignment="1" applyBorder="1" applyFont="1">
      <alignment vertical="bottom"/>
    </xf>
    <xf borderId="3" fillId="0" fontId="37" numFmtId="169" xfId="0" applyAlignment="1" applyBorder="1" applyFont="1" applyNumberFormat="1">
      <alignment vertical="bottom"/>
    </xf>
    <xf quotePrefix="1" borderId="1" fillId="0" fontId="37" numFmtId="0" xfId="0" applyAlignment="1" applyBorder="1" applyFont="1">
      <alignment vertical="bottom"/>
    </xf>
    <xf borderId="1" fillId="30" fontId="28" numFmtId="0" xfId="0" applyAlignment="1" applyBorder="1" applyFill="1" applyFont="1">
      <alignment horizontal="right" shrinkToFit="0" vertical="center" wrapText="0"/>
    </xf>
    <xf borderId="1" fillId="0" fontId="66" numFmtId="0" xfId="0" applyAlignment="1" applyBorder="1" applyFont="1">
      <alignment vertical="bottom"/>
    </xf>
    <xf borderId="1" fillId="30" fontId="28" numFmtId="171" xfId="0" applyAlignment="1" applyBorder="1" applyFill="1" applyFont="1" applyNumberFormat="1">
      <alignment horizontal="right" shrinkToFit="0" vertical="center" wrapText="0"/>
    </xf>
    <xf borderId="1" fillId="30" fontId="28" numFmtId="0" xfId="0" applyAlignment="1" applyBorder="1" applyFill="1" applyFont="1">
      <alignment horizontal="right" shrinkToFit="0" vertical="center" wrapText="0"/>
    </xf>
    <xf borderId="1" fillId="2" fontId="28" numFmtId="0" xfId="0" applyAlignment="1" applyBorder="1" applyFill="1" applyFont="1">
      <alignment shrinkToFit="0" vertical="center" wrapText="0"/>
    </xf>
    <xf borderId="0" fillId="2" fontId="67" numFmtId="169" xfId="0" applyAlignment="1" applyFill="1" applyFont="1" applyNumberFormat="1">
      <alignment vertical="bottom"/>
    </xf>
    <xf borderId="1" fillId="40" fontId="43" numFmtId="0" xfId="0" applyAlignment="1" applyBorder="1" applyFill="1" applyFont="1">
      <alignment shrinkToFit="0" vertical="center" wrapText="0"/>
    </xf>
    <xf borderId="1" fillId="40" fontId="43" numFmtId="0" xfId="0" applyAlignment="1" applyBorder="1" applyFill="1" applyFont="1">
      <alignment horizontal="right" shrinkToFit="0" vertical="center" wrapText="0"/>
    </xf>
    <xf borderId="1" fillId="40" fontId="43" numFmtId="170" xfId="0" applyAlignment="1" applyBorder="1" applyFill="1" applyFont="1" applyNumberFormat="1">
      <alignment horizontal="right" shrinkToFit="0" vertical="center" wrapText="0"/>
    </xf>
    <xf borderId="1" fillId="40" fontId="43" numFmtId="0" xfId="0" applyAlignment="1" applyBorder="1" applyFill="1" applyFont="1">
      <alignment horizontal="right" shrinkToFit="0" vertical="center" wrapText="0"/>
    </xf>
    <xf borderId="0" fillId="41" fontId="68" numFmtId="0" xfId="0" applyAlignment="1" applyFill="1" applyFont="1">
      <alignment vertical="bottom"/>
    </xf>
    <xf borderId="1" fillId="40" fontId="43" numFmtId="0" xfId="0" applyAlignment="1" applyBorder="1" applyFill="1" applyFont="1">
      <alignment shrinkToFit="0" vertical="center" wrapText="0"/>
    </xf>
    <xf borderId="0" fillId="2" fontId="37" numFmtId="0" xfId="0" applyAlignment="1" applyFill="1" applyFont="1">
      <alignment vertical="bottom"/>
    </xf>
    <xf borderId="0" fillId="2" fontId="69" numFmtId="0" xfId="0" applyAlignment="1" applyFill="1" applyFont="1">
      <alignment vertical="bottom"/>
    </xf>
    <xf borderId="0" fillId="2" fontId="70" numFmtId="0" xfId="0" applyAlignment="1" applyFill="1" applyFont="1">
      <alignment vertical="bottom"/>
    </xf>
    <xf borderId="0" fillId="2" fontId="71" numFmtId="0" xfId="0" applyAlignment="1" applyFill="1" applyFont="1">
      <alignment vertical="bottom"/>
    </xf>
    <xf borderId="0" fillId="2" fontId="72" numFmtId="169" xfId="0" applyAlignment="1" applyFill="1" applyFont="1" applyNumberFormat="1">
      <alignment vertical="bottom"/>
    </xf>
    <xf borderId="0" fillId="2" fontId="72" numFmtId="0" xfId="0" applyAlignment="1" applyFill="1" applyFont="1">
      <alignment vertical="bottom"/>
    </xf>
    <xf borderId="0" fillId="42" fontId="73" numFmtId="169" xfId="0" applyAlignment="1" applyFill="1" applyFont="1" applyNumberFormat="1">
      <alignment vertical="bottom"/>
    </xf>
    <xf borderId="0" fillId="0" fontId="73" numFmtId="169" xfId="0" applyAlignment="1" applyFont="1" applyNumberFormat="1">
      <alignment vertical="bottom"/>
    </xf>
    <xf borderId="0" fillId="0" fontId="74" numFmtId="0" xfId="0" applyAlignment="1" applyFont="1">
      <alignment vertical="bottom"/>
    </xf>
    <xf borderId="0" fillId="2" fontId="75" numFmtId="169" xfId="0" applyAlignment="1" applyFill="1" applyFont="1" applyNumberFormat="1">
      <alignment vertical="bottom"/>
    </xf>
    <xf borderId="0" fillId="2" fontId="76" numFmtId="0" xfId="0" applyAlignment="1" applyFill="1" applyFont="1">
      <alignment vertical="bottom"/>
    </xf>
    <xf borderId="1" fillId="40" fontId="28" numFmtId="0" xfId="0" applyAlignment="1" applyBorder="1" applyFill="1" applyFont="1">
      <alignment shrinkToFit="0" vertical="center" wrapText="0"/>
    </xf>
    <xf borderId="0" fillId="0" fontId="77" numFmtId="0" xfId="0" applyAlignment="1" applyFont="1">
      <alignment vertical="bottom"/>
    </xf>
    <xf borderId="1" fillId="40" fontId="28" numFmtId="0" xfId="0" applyAlignment="1" applyBorder="1" applyFill="1" applyFont="1">
      <alignment horizontal="right" shrinkToFit="0" vertical="center" wrapText="0"/>
    </xf>
    <xf borderId="0" fillId="2" fontId="78" numFmtId="0" xfId="0" applyAlignment="1" applyFill="1" applyFont="1">
      <alignment vertical="bottom"/>
    </xf>
    <xf borderId="1" fillId="40" fontId="28" numFmtId="170" xfId="0" applyAlignment="1" applyBorder="1" applyFill="1" applyFont="1" applyNumberFormat="1">
      <alignment horizontal="right" shrinkToFit="0" vertical="center" wrapText="0"/>
    </xf>
    <xf borderId="1" fillId="40" fontId="28" numFmtId="0" xfId="0" applyAlignment="1" applyBorder="1" applyFill="1" applyFont="1">
      <alignment horizontal="right" shrinkToFit="0" vertical="center" wrapText="0"/>
    </xf>
    <xf borderId="1" fillId="40" fontId="28" numFmtId="0" xfId="0" applyAlignment="1" applyBorder="1" applyFill="1" applyFont="1">
      <alignment shrinkToFit="0" vertical="center" wrapText="0"/>
    </xf>
    <xf borderId="1" fillId="30" fontId="37" numFmtId="0" xfId="0" applyAlignment="1" applyBorder="1" applyFill="1" applyFont="1">
      <alignment shrinkToFit="0" vertical="center" wrapText="0"/>
    </xf>
    <xf borderId="0" fillId="0" fontId="79" numFmtId="0" xfId="0" applyAlignment="1" applyFont="1">
      <alignment horizontal="center" shrinkToFit="0" wrapText="1"/>
    </xf>
    <xf borderId="0" fillId="0" fontId="37" numFmtId="0" xfId="0" applyFont="1"/>
    <xf borderId="0" fillId="0" fontId="80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81" numFmtId="0" xfId="0" applyAlignment="1" applyFont="1">
      <alignment horizontal="center" shrinkToFit="0" wrapText="1"/>
    </xf>
    <xf borderId="1" fillId="30" fontId="28" numFmtId="170" xfId="0" applyAlignment="1" applyBorder="1" applyFill="1" applyFont="1" applyNumberFormat="1">
      <alignment horizontal="right" shrinkToFit="0" vertical="center" wrapText="0"/>
    </xf>
    <xf borderId="17" fillId="2" fontId="28" numFmtId="0" xfId="0" applyAlignment="1" applyBorder="1" applyFill="1" applyFont="1">
      <alignment shrinkToFit="0" vertical="center" wrapText="0"/>
    </xf>
    <xf borderId="1" fillId="30" fontId="37" numFmtId="170" xfId="0" applyAlignment="1" applyBorder="1" applyFill="1" applyFont="1" applyNumberFormat="1">
      <alignment shrinkToFit="0" vertical="center" wrapText="0"/>
    </xf>
    <xf borderId="1" fillId="2" fontId="37" numFmtId="171" xfId="0" applyAlignment="1" applyBorder="1" applyFill="1" applyFont="1" applyNumberFormat="1">
      <alignment shrinkToFit="0" vertical="center" wrapText="0"/>
    </xf>
    <xf borderId="1" fillId="2" fontId="37" numFmtId="170" xfId="0" applyAlignment="1" applyBorder="1" applyFill="1" applyFont="1" applyNumberFormat="1">
      <alignment shrinkToFit="0" vertical="center" wrapText="0"/>
    </xf>
    <xf borderId="1" fillId="30" fontId="37" numFmtId="171" xfId="0" applyAlignment="1" applyBorder="1" applyFill="1" applyFont="1" applyNumberFormat="1">
      <alignment shrinkToFit="0" vertical="center" wrapText="0"/>
    </xf>
    <xf borderId="1" fillId="2" fontId="28" numFmtId="171" xfId="0" applyAlignment="1" applyBorder="1" applyFill="1" applyFont="1" applyNumberFormat="1">
      <alignment horizontal="right" shrinkToFit="0" vertical="center" wrapText="0"/>
    </xf>
    <xf borderId="1" fillId="0" fontId="16" numFmtId="172" xfId="0" applyAlignment="1" applyBorder="1" applyFont="1" applyNumberFormat="1">
      <alignment readingOrder="0"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1" fillId="0" fontId="16" numFmtId="171" xfId="0" applyAlignment="1" applyBorder="1" applyFont="1" applyNumberFormat="1">
      <alignment readingOrder="0" shrinkToFit="0" vertical="center" wrapText="0"/>
    </xf>
    <xf borderId="0" fillId="0" fontId="37" numFmtId="0" xfId="0" applyAlignment="1" applyFont="1">
      <alignment vertical="top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DB614"/>
          <bgColor rgb="FF3DB61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5" pivot="0" name="KEUANGAN BEM FEB 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ANGGOTA PENGURUS BEM FEB-style">
      <tableStyleElement dxfId="6" type="headerRow"/>
      <tableStyleElement dxfId="2" type="firstRowStripe"/>
      <tableStyleElement dxfId="7" type="secondRowStripe"/>
      <tableStyleElement dxfId="5" size="0" type="wholeTable"/>
    </tableStyle>
    <tableStyle count="2" pivot="0" name="ANGGOTA PENGURUS BEM FEB-style 2">
      <tableStyleElement dxfId="7" type="firstRowStripe"/>
      <tableStyleElement dxfId="2" type="secondRowStripe"/>
    </tableStyle>
    <tableStyle count="4" pivot="0" name="ANGGOTA PENGURUS BEM FEB-style 3">
      <tableStyleElement dxfId="6" type="headerRow"/>
      <tableStyleElement dxfId="2" type="firstRowStripe"/>
      <tableStyleElement dxfId="7" type="secondRowStripe"/>
      <tableStyleElement dxfId="5" size="0" type="wholeTable"/>
    </tableStyle>
    <tableStyle count="4" pivot="0" name="ANGGOTA PENGURUS BEM FEB-style 4">
      <tableStyleElement dxfId="6" type="headerRow"/>
      <tableStyleElement dxfId="2" type="firstRowStripe"/>
      <tableStyleElement dxfId="7" type="secondRowStripe"/>
      <tableStyleElement dxfId="5" size="0" type="wholeTable"/>
    </tableStyle>
    <tableStyle count="4" pivot="0" name="ANGGOTA PENGURUS BEM FEB-style 5">
      <tableStyleElement dxfId="6" type="headerRow"/>
      <tableStyleElement dxfId="2" type="firstRowStripe"/>
      <tableStyleElement dxfId="7" type="secondRowStripe"/>
      <tableStyleElement dxfId="5" size="0" type="wholeTable"/>
    </tableStyle>
    <tableStyle count="4" pivot="0" name="ANGGOTA PENGURUS BEM FEB-style 6">
      <tableStyleElement dxfId="6" type="headerRow"/>
      <tableStyleElement dxfId="2" type="firstRowStripe"/>
      <tableStyleElement dxfId="7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142875</xdr:colOff>
      <xdr:row>13</xdr:row>
      <xdr:rowOff>428625</xdr:rowOff>
    </xdr:from>
    <xdr:ext cx="4876800" cy="5848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107189196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O23" displayName="Table1" name="Table1" id="1">
  <tableColumns count="15">
    <tableColumn name="Nama Lengkap" id="1"/>
    <tableColumn name="Mei 26" id="2"/>
    <tableColumn name="Juni 26" id="3"/>
    <tableColumn totalsRowLabel="FALSE" name="Juli 26" id="4"/>
    <tableColumn totalsRowLabel="FALSE" name="Agustus 26" id="5"/>
    <tableColumn totalsRowLabel="FALSE" name="September 26" id="6"/>
    <tableColumn name="Oktober 26" id="7"/>
    <tableColumn name="November 26" id="8"/>
    <tableColumn name="Desember 26" id="9"/>
    <tableColumn name="Januari" id="10"/>
    <tableColumn name="Februari" id="11"/>
    <tableColumn name="Column 1" id="12"/>
    <tableColumn name="Column 2" id="13"/>
    <tableColumn name="Belum bsysr" id="14"/>
    <tableColumn name="Column 4" id="15"/>
  </tableColumns>
  <tableStyleInfo name="KEUANGAN BEM FEB -style" showColumnStripes="0" showFirstColumn="1" showLastColumn="1" showRowStripes="1"/>
</table>
</file>

<file path=xl/tables/table2.xml><?xml version="1.0" encoding="utf-8"?>
<table xmlns="http://schemas.openxmlformats.org/spreadsheetml/2006/main" ref="B4:L28" displayName="Pengurus_BEM_FEB_" name="Pengurus_BEM_FEB_" id="2">
  <tableColumns count="11">
    <tableColumn name="No" id="1"/>
    <tableColumn name="Nama" id="2"/>
    <tableColumn name="NIM" id="3"/>
    <tableColumn name="G Mail utama " id="4"/>
    <tableColumn name="Ulang Tahun" id="5"/>
    <tableColumn name="Alamat" id="6"/>
    <tableColumn name="No rek" id="7"/>
    <tableColumn name="Foto Formal (Kemeja Putih + Almamater + KTM)" id="8"/>
    <tableColumn name="Foto Warna Bebas per Divisi (ga formal)" id="9"/>
    <tableColumn name="Jurusan (Tahun Jurusan)" id="10"/>
    <tableColumn name="Jabatan " id="11"/>
  </tableColumns>
  <tableStyleInfo name="ANGGOTA PENGURUS BEM FEB-style" showColumnStripes="0" showFirstColumn="1" showLastColumn="1" showRowStripes="1"/>
</table>
</file>

<file path=xl/tables/table3.xml><?xml version="1.0" encoding="utf-8"?>
<table xmlns="http://schemas.openxmlformats.org/spreadsheetml/2006/main" headerRowCount="0" ref="C31:J31" displayName="Table_1" name="Table_1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NGGOTA PENGURUS BEM FEB-style 2" showColumnStripes="0" showFirstColumn="1" showLastColumn="1" showRowStripes="1"/>
</table>
</file>

<file path=xl/tables/table4.xml><?xml version="1.0" encoding="utf-8"?>
<table xmlns="http://schemas.openxmlformats.org/spreadsheetml/2006/main" ref="B39:L49" displayName="Pubdoc" name="Pubdoc" id="4">
  <tableColumns count="11">
    <tableColumn name="No" id="1"/>
    <tableColumn name="Nama Lengkap" id="2"/>
    <tableColumn name="NIM" id="3"/>
    <tableColumn name="GMail utama " id="4"/>
    <tableColumn name="Ulang Tahun" id="5"/>
    <tableColumn name="Column 11" id="6"/>
    <tableColumn name="Column 8" id="7"/>
    <tableColumn name="Column 9" id="8"/>
    <tableColumn name="Column 10" id="9"/>
    <tableColumn name="Jurusan (Tahun Jurusan)" id="10"/>
    <tableColumn name="Jabatan " id="11"/>
  </tableColumns>
  <tableStyleInfo name="ANGGOTA PENGURUS BEM FEB-style 3" showColumnStripes="0" showFirstColumn="1" showLastColumn="1" showRowStripes="1"/>
</table>
</file>

<file path=xl/tables/table5.xml><?xml version="1.0" encoding="utf-8"?>
<table xmlns="http://schemas.openxmlformats.org/spreadsheetml/2006/main" ref="B53:L63" displayName="Humas" name="Humas" id="5">
  <tableColumns count="11">
    <tableColumn name="No" id="1"/>
    <tableColumn name="Nama Lengkap" id="2"/>
    <tableColumn name="NIM" id="3"/>
    <tableColumn name="GMail utama " id="4"/>
    <tableColumn name="Ulang Tahun" id="5"/>
    <tableColumn name="Column 11" id="6"/>
    <tableColumn name="Column 8" id="7"/>
    <tableColumn name="Column 9" id="8"/>
    <tableColumn name="Column 10" id="9"/>
    <tableColumn name="Jurusan (Tahun Jurusan)" id="10"/>
    <tableColumn name="Jabatan " id="11"/>
  </tableColumns>
  <tableStyleInfo name="ANGGOTA PENGURUS BEM FEB-style 4" showColumnStripes="0" showFirstColumn="1" showLastColumn="1" showRowStripes="1"/>
</table>
</file>

<file path=xl/tables/table6.xml><?xml version="1.0" encoding="utf-8"?>
<table xmlns="http://schemas.openxmlformats.org/spreadsheetml/2006/main" ref="B69:L79" displayName="Acara" name="Acara" id="6">
  <tableColumns count="11">
    <tableColumn name="No" id="1"/>
    <tableColumn name="Nama Lengkap" id="2"/>
    <tableColumn name="NIM" id="3"/>
    <tableColumn name="GMail utama " id="4"/>
    <tableColumn name="Ulang Tahun" id="5"/>
    <tableColumn name="Column 11" id="6"/>
    <tableColumn name="Column 8" id="7"/>
    <tableColumn name="Column 9" id="8"/>
    <tableColumn name="Column 10" id="9"/>
    <tableColumn name="Jurusan (Tahun Jurusan)" id="10"/>
    <tableColumn name="Jabatan " id="11"/>
  </tableColumns>
  <tableStyleInfo name="ANGGOTA PENGURUS BEM FEB-style 5" showColumnStripes="0" showFirstColumn="1" showLastColumn="1" showRowStripes="1"/>
</table>
</file>

<file path=xl/tables/table7.xml><?xml version="1.0" encoding="utf-8"?>
<table xmlns="http://schemas.openxmlformats.org/spreadsheetml/2006/main" ref="B84:L94" displayName="BD" name="BD" id="7">
  <tableColumns count="11">
    <tableColumn name="No" id="1"/>
    <tableColumn name="Nama Lengkap" id="2"/>
    <tableColumn name="NIM" id="3"/>
    <tableColumn name="GMail utama " id="4"/>
    <tableColumn name="Ulang Tahun" id="5"/>
    <tableColumn name="Column 11" id="6"/>
    <tableColumn name="Column 8" id="7"/>
    <tableColumn name="Column 9" id="8"/>
    <tableColumn name="Column 10" id="9"/>
    <tableColumn name="Jurusan (Tahun Jurusan)" id="10"/>
    <tableColumn name="Jabatan" id="11"/>
  </tableColumns>
  <tableStyleInfo name="ANGGOTA PENGURUS BEM FEB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anva.link/wdnsdrs9wft6tgv" TargetMode="External"/><Relationship Id="rId11" Type="http://schemas.openxmlformats.org/officeDocument/2006/relationships/hyperlink" Target="https://docs.google.com/spreadsheets/d/1nONxhxVcIBr_ol_1tbnPxaxNqta3oo-exbYEKdJom10/edit?gid=1436981726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ocs.google.com/spreadsheets/d/1dXhJ46ScswqxxXmDXEAT6mQZ2s1JbZLEypljJyst1EU/edit?usp=sharing" TargetMode="External"/><Relationship Id="rId21" Type="http://schemas.openxmlformats.org/officeDocument/2006/relationships/hyperlink" Target="https://canva.link/ycgs50ymur5ed5l" TargetMode="External"/><Relationship Id="rId13" Type="http://schemas.openxmlformats.org/officeDocument/2006/relationships/hyperlink" Target="https://drive.google.com/drive/folders/1Snj6tmrgOIG2AwR63eQk5feB4o_c741b" TargetMode="External"/><Relationship Id="rId12" Type="http://schemas.openxmlformats.org/officeDocument/2006/relationships/hyperlink" Target="https://drive.google.com/drive/folders/1CGbIlMD4b9bXN4_YI_EBYMnfFe3bv7vp?usp=drive_link" TargetMode="External"/><Relationship Id="rId1" Type="http://schemas.openxmlformats.org/officeDocument/2006/relationships/hyperlink" Target="https://drive.google.com/drive/folders/1GwsME5kSIgcahCs0P3nSp1_id5nbIXQp?usp=sharing" TargetMode="External"/><Relationship Id="rId2" Type="http://schemas.openxmlformats.org/officeDocument/2006/relationships/hyperlink" Target="https://drive.google.com/drive/folders/1aZBSW6pT7nP-Wu7bl4x4eRnCaNmBODNy?usp=sharing" TargetMode="External"/><Relationship Id="rId3" Type="http://schemas.openxmlformats.org/officeDocument/2006/relationships/hyperlink" Target="https://drive.google.com/drive/folders/1fYnftouKDmV6jpBY1c5yBOt4tZ_NDfun?usp=drive_link" TargetMode="External"/><Relationship Id="rId4" Type="http://schemas.openxmlformats.org/officeDocument/2006/relationships/hyperlink" Target="https://docs.google.com/spreadsheets/d/1xRcj3sS0HBSU5RDyr-f0ll01dFGF05Td/edit?usp=sharing&amp;ouid=107514760521432830803&amp;rtpof=true&amp;sd=true" TargetMode="External"/><Relationship Id="rId9" Type="http://schemas.openxmlformats.org/officeDocument/2006/relationships/hyperlink" Target="https://drive.google.com/drive/folders/1iB2nRA6IDj7S0m51Txmg_GKkqxVkv1QX?usp=sharing" TargetMode="External"/><Relationship Id="rId15" Type="http://schemas.openxmlformats.org/officeDocument/2006/relationships/hyperlink" Target="https://canva.link/jnkq2yq7lowlfna" TargetMode="External"/><Relationship Id="rId14" Type="http://schemas.openxmlformats.org/officeDocument/2006/relationships/hyperlink" Target="https://docs.google.com/spreadsheets/d/1ktnP1liP2jyywy6Ekp_yIymm8tbqRUp_yYOhmAtphIQ/edit?gid=0" TargetMode="External"/><Relationship Id="rId17" Type="http://schemas.openxmlformats.org/officeDocument/2006/relationships/hyperlink" Target="https://canva.link/gwui4i6f3xv5feq" TargetMode="External"/><Relationship Id="rId16" Type="http://schemas.openxmlformats.org/officeDocument/2006/relationships/hyperlink" Target="https://canva.link/sdb3u98ocq6weqx" TargetMode="External"/><Relationship Id="rId5" Type="http://schemas.openxmlformats.org/officeDocument/2006/relationships/hyperlink" Target="https://docs.google.com/spreadsheets/d/1n_SyFEbLgO6LwIFKj1aBaYd0TO9Mv_AKkEmfTr_msM0/edit?gid=1012949376" TargetMode="External"/><Relationship Id="rId19" Type="http://schemas.openxmlformats.org/officeDocument/2006/relationships/hyperlink" Target="https://canva.link/tvi5or9qi6dv3qd" TargetMode="External"/><Relationship Id="rId6" Type="http://schemas.openxmlformats.org/officeDocument/2006/relationships/hyperlink" Target="https://drive.google.com/drive/folders/1rA3gTYoxyVoE0twYfWj097An0oXmA9Zg?usp=sharing" TargetMode="External"/><Relationship Id="rId18" Type="http://schemas.openxmlformats.org/officeDocument/2006/relationships/hyperlink" Target="https://canva.link/1m7qa7456deynwe" TargetMode="External"/><Relationship Id="rId7" Type="http://schemas.openxmlformats.org/officeDocument/2006/relationships/hyperlink" Target="https://docs.google.com/spreadsheets/d/1xRcj3sS0HBSU5RDyr-f0ll01dFGF05Td/edit?usp=sharing&amp;ouid=107514760521432830803&amp;rtpof=true&amp;sd=true" TargetMode="External"/><Relationship Id="rId8" Type="http://schemas.openxmlformats.org/officeDocument/2006/relationships/hyperlink" Target="https://docs.google.com/spreadsheets/d/12pT6xfrt7C2MzJSegAD6TFcOhMAlYvQzayBGZDOK9p0/edit?gid=78639413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ANWNK2BWOXiKYAsN_P0aOEmuE4aY7j6G" TargetMode="External"/><Relationship Id="rId22" Type="http://schemas.openxmlformats.org/officeDocument/2006/relationships/hyperlink" Target="https://drive.google.com/open?id=1kD9IvckeBUF_aWgdj2xS7MGEr27UHdMT" TargetMode="External"/><Relationship Id="rId21" Type="http://schemas.openxmlformats.org/officeDocument/2006/relationships/hyperlink" Target="https://drive.google.com/open?id=15oMD7BdAAlJr8FIhgyxFk-SpxCYcX4a9" TargetMode="External"/><Relationship Id="rId24" Type="http://schemas.openxmlformats.org/officeDocument/2006/relationships/hyperlink" Target="https://drive.google.com/open?id=1GjUh9gEvxeRseDa2X7XvY0uDmJ496Fxm" TargetMode="External"/><Relationship Id="rId23" Type="http://schemas.openxmlformats.org/officeDocument/2006/relationships/hyperlink" Target="https://drive.google.com/open?id=1GAc7K0M8tAeRI493_mfdAd1YvmZ1idag" TargetMode="External"/><Relationship Id="rId1" Type="http://schemas.openxmlformats.org/officeDocument/2006/relationships/hyperlink" Target="https://drive.google.com/open?id=1MU5XZkhdd5xhMUrKwpHlMMiAh0C18TlK" TargetMode="External"/><Relationship Id="rId2" Type="http://schemas.openxmlformats.org/officeDocument/2006/relationships/hyperlink" Target="https://drive.google.com/open?id=1h4feiy_yHb3QsF6zrHMxu8yPevAKdH_3" TargetMode="External"/><Relationship Id="rId3" Type="http://schemas.openxmlformats.org/officeDocument/2006/relationships/hyperlink" Target="https://drive.google.com/open?id=1ce_WeR_iQnU4ljwiDmOO_SYGDBcD8gv6" TargetMode="External"/><Relationship Id="rId4" Type="http://schemas.openxmlformats.org/officeDocument/2006/relationships/hyperlink" Target="https://drive.google.com/open?id=1QnrW64Iu94dBgNNQe0L1cpV-TRgG24Wl" TargetMode="External"/><Relationship Id="rId9" Type="http://schemas.openxmlformats.org/officeDocument/2006/relationships/hyperlink" Target="https://drive.google.com/open?id=1DAnHN83QkhOcGppRKoVCTKYyM0EYf2wY" TargetMode="External"/><Relationship Id="rId26" Type="http://schemas.openxmlformats.org/officeDocument/2006/relationships/drawing" Target="../drawings/drawing6.xml"/><Relationship Id="rId25" Type="http://schemas.openxmlformats.org/officeDocument/2006/relationships/hyperlink" Target="https://drive.google.com/open?id=1zmUE9gCVVAjrtnkmmAjNJXl7ziHdwfey" TargetMode="External"/><Relationship Id="rId5" Type="http://schemas.openxmlformats.org/officeDocument/2006/relationships/hyperlink" Target="https://drive.google.com/open?id=1YHoO25Xr4rqxUTjNsmtCyjK3z9n3OQFm" TargetMode="External"/><Relationship Id="rId6" Type="http://schemas.openxmlformats.org/officeDocument/2006/relationships/hyperlink" Target="https://drive.google.com/open?id=1ky3c3UUS8we8F6qRPG3Hq3hGo5AUTinL" TargetMode="External"/><Relationship Id="rId7" Type="http://schemas.openxmlformats.org/officeDocument/2006/relationships/hyperlink" Target="https://drive.google.com/open?id=1iFFx0rMF2gApY-QOIIi0hCpUIceqYmgQ" TargetMode="External"/><Relationship Id="rId8" Type="http://schemas.openxmlformats.org/officeDocument/2006/relationships/hyperlink" Target="https://drive.google.com/open?id=1bMvkozHt8G5GNFXLZ-L3zux50upwjU0H" TargetMode="External"/><Relationship Id="rId11" Type="http://schemas.openxmlformats.org/officeDocument/2006/relationships/hyperlink" Target="https://drive.google.com/open?id=1AR4Jugzkv2VV7wXN-ssj3mW83a1PQeKD" TargetMode="External"/><Relationship Id="rId33" Type="http://schemas.openxmlformats.org/officeDocument/2006/relationships/table" Target="../tables/table2.xml"/><Relationship Id="rId10" Type="http://schemas.openxmlformats.org/officeDocument/2006/relationships/hyperlink" Target="https://drive.google.com/open?id=1kvkDE_BjpyvNY8EDylOUpG_jiTJOkYRa" TargetMode="External"/><Relationship Id="rId13" Type="http://schemas.openxmlformats.org/officeDocument/2006/relationships/hyperlink" Target="https://drive.google.com/open?id=1OxGy6h-9CSR74BfY2rlHfqs7xhoCamsG" TargetMode="External"/><Relationship Id="rId35" Type="http://schemas.openxmlformats.org/officeDocument/2006/relationships/table" Target="../tables/table4.xml"/><Relationship Id="rId12" Type="http://schemas.openxmlformats.org/officeDocument/2006/relationships/hyperlink" Target="https://drive.google.com/open?id=15gR4Bo_w5YTwTJWMsaiIIlc7ECsAhJ45" TargetMode="External"/><Relationship Id="rId34" Type="http://schemas.openxmlformats.org/officeDocument/2006/relationships/table" Target="../tables/table3.xml"/><Relationship Id="rId15" Type="http://schemas.openxmlformats.org/officeDocument/2006/relationships/hyperlink" Target="https://drive.google.com/open?id=1_zdkKBBEh5QfUtjixRYLlTup5YkdMlwB" TargetMode="External"/><Relationship Id="rId37" Type="http://schemas.openxmlformats.org/officeDocument/2006/relationships/table" Target="../tables/table6.xml"/><Relationship Id="rId14" Type="http://schemas.openxmlformats.org/officeDocument/2006/relationships/hyperlink" Target="https://drive.google.com/open?id=172cVJvtUqhWYJuMsHzdUKpgc8aGF11XD" TargetMode="External"/><Relationship Id="rId36" Type="http://schemas.openxmlformats.org/officeDocument/2006/relationships/table" Target="../tables/table5.xml"/><Relationship Id="rId17" Type="http://schemas.openxmlformats.org/officeDocument/2006/relationships/hyperlink" Target="https://drive.google.com/open?id=16rwVXEoKDp3qq3XV3ZMP7e2EFrdxVtWL" TargetMode="External"/><Relationship Id="rId16" Type="http://schemas.openxmlformats.org/officeDocument/2006/relationships/hyperlink" Target="https://drive.google.com/open?id=1E19TBLRjtCKui6sM7khEnsci2hAQEBer" TargetMode="External"/><Relationship Id="rId38" Type="http://schemas.openxmlformats.org/officeDocument/2006/relationships/table" Target="../tables/table7.xml"/><Relationship Id="rId19" Type="http://schemas.openxmlformats.org/officeDocument/2006/relationships/hyperlink" Target="https://drive.google.com/open?id=1_jkOo4BFHL7DkVzz2L9vZnHJXbR51N2K" TargetMode="External"/><Relationship Id="rId18" Type="http://schemas.openxmlformats.org/officeDocument/2006/relationships/hyperlink" Target="https://drive.google.com/open?id=1x487CpAtdm8Dnqe_Sw9L9QiwmXwyv4Zv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uara.com" TargetMode="External"/><Relationship Id="rId2" Type="http://schemas.openxmlformats.org/officeDocument/2006/relationships/hyperlink" Target="http://mediaini.com" TargetMode="External"/><Relationship Id="rId3" Type="http://schemas.openxmlformats.org/officeDocument/2006/relationships/hyperlink" Target="http://esports.id/" TargetMode="External"/><Relationship Id="rId4" Type="http://schemas.openxmlformats.org/officeDocument/2006/relationships/hyperlink" Target="http://vidio.com/" TargetMode="External"/><Relationship Id="rId5" Type="http://schemas.openxmlformats.org/officeDocument/2006/relationships/hyperlink" Target="https://docs.google.com/document/d/18rFwzy66MWdAyMqdIgALmiODIUp0qZYsIfUClw58BYI/edit?usp=sharing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" Type="http://schemas.openxmlformats.org/officeDocument/2006/relationships/hyperlink" Target="http://pr.id/" TargetMode="External"/><Relationship Id="rId2" Type="http://schemas.openxmlformats.org/officeDocument/2006/relationships/hyperlink" Target="https://www.sicepat.com/contactus" TargetMode="External"/><Relationship Id="rId3" Type="http://schemas.openxmlformats.org/officeDocument/2006/relationships/hyperlink" Target="https://www.tokopedia.com/help/article/pengajuan-kerja-sama-dengan-tokopedia" TargetMode="External"/><Relationship Id="rId4" Type="http://schemas.openxmlformats.org/officeDocument/2006/relationships/hyperlink" Target="https://partnership.pegadaian.co.id/hubungi-kami" TargetMode="External"/><Relationship Id="rId9" Type="http://schemas.openxmlformats.org/officeDocument/2006/relationships/hyperlink" Target="https://api.whatsapp.com/send/?phone=6281113102759&amp;text&amp;app_absent=0" TargetMode="External"/><Relationship Id="rId5" Type="http://schemas.openxmlformats.org/officeDocument/2006/relationships/hyperlink" Target="https://api.whatsapp.com/send/?phone=628551000185&amp;text&amp;app_absent=0" TargetMode="External"/><Relationship Id="rId6" Type="http://schemas.openxmlformats.org/officeDocument/2006/relationships/hyperlink" Target="https://www.dicoding.com/contact-us" TargetMode="External"/><Relationship Id="rId7" Type="http://schemas.openxmlformats.org/officeDocument/2006/relationships/hyperlink" Target="https://www.instagram.com/dicoding/" TargetMode="External"/><Relationship Id="rId8" Type="http://schemas.openxmlformats.org/officeDocument/2006/relationships/hyperlink" Target="https://melon.id/kontak" TargetMode="External"/><Relationship Id="rId11" Type="http://schemas.openxmlformats.org/officeDocument/2006/relationships/hyperlink" Target="http://indihomegamer.id/" TargetMode="External"/><Relationship Id="rId10" Type="http://schemas.openxmlformats.org/officeDocument/2006/relationships/hyperlink" Target="https://www.instagram.com/Greenfields.ID/" TargetMode="External"/><Relationship Id="rId13" Type="http://schemas.openxmlformats.org/officeDocument/2006/relationships/hyperlink" Target="http://blibli.com/" TargetMode="External"/><Relationship Id="rId12" Type="http://schemas.openxmlformats.org/officeDocument/2006/relationships/hyperlink" Target="https://www.akulaku.com/contact-us" TargetMode="External"/><Relationship Id="rId15" Type="http://schemas.openxmlformats.org/officeDocument/2006/relationships/hyperlink" Target="mailto:info@olxautos.co.id" TargetMode="External"/><Relationship Id="rId14" Type="http://schemas.openxmlformats.org/officeDocument/2006/relationships/hyperlink" Target="https://www.google.com/search?q=nomor+telp+olx&amp;biw=1280&amp;bih=601&amp;sxsrf=ALiCzsZq0m-fdlUPFvIEzth5736cvuYHdg%3A1655028982108&amp;ei=9rylYvuRBr2YseMP2NWa4Ak&amp;ved=0ahUKEwj75Mi016f4AhU9TGwGHdiqBpwQ4dUDCA4&amp;uact=5&amp;oq=nomor+telp+olx&amp;gs_lcp=Cgdnd3Mtd2l6EAMyCwguEMcBEK8BEMsBMgYIABAeEBYyBggAEB4QFjIGCAAQHhAWMgYIABAeEBYyCQgAEB4QyQMQFjIGCAAQHhAWMgYIABAeEBY6BwgAEEcQsAM6BAgjECc6BQgAEMsBOgcIABAKEMsBOgQIABAKOgoIABAeEA8QFhAKOggIABAeEA8QFkoECEEYAEoECEYYAFD1AljoB2CrCWgBcAB4AIABkgGIAbIEkgEDMS40mAEAoAEByAEIwAEB&amp;sclient=gws-wiz" TargetMode="External"/><Relationship Id="rId17" Type="http://schemas.openxmlformats.org/officeDocument/2006/relationships/hyperlink" Target="mailto:career@sinarmasland.com" TargetMode="External"/><Relationship Id="rId16" Type="http://schemas.openxmlformats.org/officeDocument/2006/relationships/hyperlink" Target="http://jd.id/" TargetMode="External"/><Relationship Id="rId19" Type="http://schemas.openxmlformats.org/officeDocument/2006/relationships/hyperlink" Target="mailto:contact@deltomed.com" TargetMode="External"/><Relationship Id="rId18" Type="http://schemas.openxmlformats.org/officeDocument/2006/relationships/hyperlink" Target="mailto:nestle.indonesia@id.nest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22.0"/>
    <col customWidth="1" min="5" max="6" width="10.5"/>
    <col customWidth="1" min="7" max="7" width="8.63"/>
    <col customWidth="1" min="9" max="9" width="40.88"/>
    <col customWidth="1" min="10" max="11" width="30.63"/>
    <col customWidth="1" min="12" max="71" width="3.0"/>
    <col customWidth="1" min="72" max="72" width="3.38"/>
  </cols>
  <sheetData>
    <row r="1" ht="21.0" customHeight="1">
      <c r="A1" s="2"/>
      <c r="B1" s="3"/>
      <c r="C1" s="5"/>
      <c r="D1" s="5"/>
      <c r="E1" s="5"/>
      <c r="F1" s="7"/>
      <c r="G1" s="7"/>
      <c r="H1" s="5"/>
      <c r="I1" s="5"/>
      <c r="J1" s="5"/>
      <c r="K1" s="5"/>
      <c r="L1" s="11"/>
      <c r="M1" s="13"/>
      <c r="N1" s="15"/>
      <c r="O1" s="16"/>
      <c r="P1" s="15"/>
      <c r="Q1" s="17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5"/>
      <c r="AH1" s="25"/>
      <c r="AI1" s="25"/>
      <c r="AJ1" s="25"/>
      <c r="AK1" s="25"/>
      <c r="AL1" s="25"/>
      <c r="AM1" s="25"/>
      <c r="AN1" s="25"/>
      <c r="AO1" s="25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21.0" customHeight="1">
      <c r="A2" s="2"/>
      <c r="B2" s="30" t="s">
        <v>11</v>
      </c>
      <c r="C2" s="31"/>
      <c r="D2" s="31"/>
      <c r="E2" s="31"/>
      <c r="F2" s="31"/>
      <c r="G2" s="31"/>
      <c r="H2" s="32"/>
      <c r="I2" s="32"/>
      <c r="J2" s="32"/>
      <c r="K2" s="32"/>
      <c r="L2" s="34"/>
      <c r="M2" s="31"/>
      <c r="N2" s="31"/>
      <c r="O2" s="31"/>
      <c r="P2" s="31"/>
      <c r="Q2" s="31"/>
      <c r="R2" s="36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9"/>
      <c r="AJ2" s="39"/>
      <c r="AK2" s="39"/>
      <c r="AL2" s="39"/>
      <c r="AM2" s="39"/>
      <c r="AN2" s="39"/>
      <c r="AO2" s="39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ht="21.0" customHeight="1">
      <c r="A3" s="2"/>
      <c r="B3" s="43"/>
      <c r="C3" s="43"/>
      <c r="D3" s="44"/>
      <c r="E3" s="44"/>
      <c r="F3" s="44"/>
      <c r="G3" s="44"/>
      <c r="H3" s="44"/>
      <c r="I3" s="44"/>
      <c r="J3" s="44"/>
      <c r="K3" s="44"/>
      <c r="L3" s="47"/>
      <c r="M3" s="47"/>
      <c r="N3" s="47"/>
      <c r="O3" s="47"/>
      <c r="P3" s="48"/>
      <c r="Q3" s="48"/>
      <c r="R3" s="48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5"/>
      <c r="AH3" s="25"/>
      <c r="AI3" s="25"/>
      <c r="AJ3" s="25"/>
      <c r="AK3" s="25"/>
      <c r="AL3" s="25"/>
      <c r="AM3" s="25"/>
      <c r="AN3" s="25"/>
      <c r="AO3" s="25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  <row r="4" ht="21.0" customHeight="1">
      <c r="A4" s="2"/>
      <c r="B4" s="55" t="s">
        <v>17</v>
      </c>
      <c r="C4" s="56"/>
      <c r="D4" s="59" t="s">
        <v>11</v>
      </c>
      <c r="E4" s="56"/>
      <c r="F4" s="56"/>
      <c r="G4" s="56"/>
      <c r="H4" s="60"/>
      <c r="I4" s="60"/>
      <c r="J4" s="60"/>
      <c r="K4" s="60"/>
      <c r="L4" s="55" t="s">
        <v>21</v>
      </c>
      <c r="M4" s="56"/>
      <c r="N4" s="56"/>
      <c r="O4" s="56"/>
      <c r="P4" s="56"/>
      <c r="Q4" s="56"/>
      <c r="R4" s="56"/>
      <c r="S4" s="63" t="s">
        <v>23</v>
      </c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65"/>
      <c r="AG4" s="25"/>
      <c r="AH4" s="25"/>
      <c r="AI4" s="25"/>
      <c r="AJ4" s="25"/>
      <c r="AK4" s="25"/>
      <c r="AL4" s="25"/>
      <c r="AM4" s="25"/>
      <c r="AN4" s="25"/>
      <c r="AO4" s="25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</row>
    <row r="5" ht="21.0" customHeight="1">
      <c r="A5" s="2"/>
      <c r="B5" s="55" t="s">
        <v>27</v>
      </c>
      <c r="C5" s="56"/>
      <c r="D5" s="69" t="s">
        <v>14</v>
      </c>
      <c r="E5" s="56"/>
      <c r="F5" s="56"/>
      <c r="G5" s="56"/>
      <c r="H5" s="71"/>
      <c r="I5" s="71"/>
      <c r="J5" s="71"/>
      <c r="K5" s="71"/>
      <c r="L5" s="55" t="s">
        <v>29</v>
      </c>
      <c r="M5" s="56"/>
      <c r="N5" s="56"/>
      <c r="O5" s="56"/>
      <c r="P5" s="56"/>
      <c r="Q5" s="56"/>
      <c r="R5" s="56"/>
      <c r="S5" s="74">
        <v>46120.0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77"/>
      <c r="AF5" s="65"/>
      <c r="AG5" s="2"/>
      <c r="AH5" s="2"/>
      <c r="AI5" s="2"/>
      <c r="AJ5" s="2"/>
      <c r="AK5" s="2"/>
      <c r="AL5" s="2"/>
      <c r="AM5" s="2"/>
      <c r="AN5" s="2"/>
      <c r="AO5" s="80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</row>
    <row r="6" ht="21.0" customHeight="1">
      <c r="A6" s="81"/>
      <c r="B6" s="55" t="s">
        <v>37</v>
      </c>
      <c r="C6" s="56"/>
      <c r="D6" s="69" t="s">
        <v>39</v>
      </c>
      <c r="E6" s="56"/>
      <c r="F6" s="56"/>
      <c r="G6" s="56"/>
      <c r="H6" s="84"/>
      <c r="I6" s="84"/>
      <c r="J6" s="84"/>
      <c r="K6" s="84"/>
      <c r="L6" s="85"/>
      <c r="M6" s="85"/>
      <c r="N6" s="85"/>
      <c r="O6" s="85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</row>
    <row r="7" ht="21.0" customHeight="1">
      <c r="A7" s="81"/>
      <c r="B7" s="85"/>
      <c r="C7" s="85"/>
      <c r="D7" s="85"/>
      <c r="E7" s="85"/>
      <c r="F7" s="85"/>
      <c r="G7" s="84"/>
      <c r="H7" s="84"/>
      <c r="I7" s="84"/>
      <c r="J7" s="84"/>
      <c r="K7" s="84"/>
      <c r="L7" s="85"/>
      <c r="M7" s="85"/>
      <c r="N7" s="85"/>
      <c r="O7" s="85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</row>
    <row r="8" ht="17.25" customHeight="1">
      <c r="A8" s="95"/>
      <c r="B8" s="97" t="s">
        <v>63</v>
      </c>
      <c r="C8" s="97" t="s">
        <v>65</v>
      </c>
      <c r="D8" s="97" t="s">
        <v>66</v>
      </c>
      <c r="E8" s="97" t="s">
        <v>67</v>
      </c>
      <c r="F8" s="97" t="s">
        <v>68</v>
      </c>
      <c r="G8" s="97" t="s">
        <v>69</v>
      </c>
      <c r="H8" s="97" t="s">
        <v>70</v>
      </c>
      <c r="I8" s="97" t="s">
        <v>71</v>
      </c>
      <c r="J8" s="97" t="s">
        <v>73</v>
      </c>
      <c r="K8" s="97" t="s">
        <v>74</v>
      </c>
      <c r="L8" s="103" t="s">
        <v>75</v>
      </c>
      <c r="AA8" s="106" t="s">
        <v>79</v>
      </c>
      <c r="AP8" s="107" t="s">
        <v>80</v>
      </c>
      <c r="BE8" s="108" t="s">
        <v>81</v>
      </c>
      <c r="BS8" s="112"/>
      <c r="BT8" s="81"/>
    </row>
    <row r="9" ht="17.25" customHeight="1">
      <c r="A9" s="113"/>
      <c r="L9" s="116" t="s">
        <v>85</v>
      </c>
      <c r="M9" s="117"/>
      <c r="N9" s="117"/>
      <c r="O9" s="117"/>
      <c r="P9" s="119"/>
      <c r="Q9" s="116" t="s">
        <v>90</v>
      </c>
      <c r="R9" s="117"/>
      <c r="S9" s="117"/>
      <c r="T9" s="117"/>
      <c r="U9" s="119"/>
      <c r="V9" s="116" t="s">
        <v>93</v>
      </c>
      <c r="W9" s="117"/>
      <c r="X9" s="117"/>
      <c r="Y9" s="117"/>
      <c r="Z9" s="119"/>
      <c r="AA9" s="125" t="s">
        <v>95</v>
      </c>
      <c r="AB9" s="117"/>
      <c r="AC9" s="117"/>
      <c r="AD9" s="117"/>
      <c r="AE9" s="119"/>
      <c r="AF9" s="125" t="s">
        <v>96</v>
      </c>
      <c r="AG9" s="117"/>
      <c r="AH9" s="117"/>
      <c r="AI9" s="117"/>
      <c r="AJ9" s="119"/>
      <c r="AK9" s="125" t="s">
        <v>97</v>
      </c>
      <c r="AL9" s="117"/>
      <c r="AM9" s="117"/>
      <c r="AN9" s="117"/>
      <c r="AO9" s="119"/>
      <c r="AP9" s="130" t="s">
        <v>98</v>
      </c>
      <c r="AQ9" s="117"/>
      <c r="AR9" s="117"/>
      <c r="AS9" s="117"/>
      <c r="AT9" s="119"/>
      <c r="AU9" s="130" t="s">
        <v>100</v>
      </c>
      <c r="AV9" s="117"/>
      <c r="AW9" s="117"/>
      <c r="AX9" s="117"/>
      <c r="AY9" s="119"/>
      <c r="AZ9" s="130" t="s">
        <v>102</v>
      </c>
      <c r="BA9" s="117"/>
      <c r="BB9" s="117"/>
      <c r="BC9" s="117"/>
      <c r="BD9" s="119"/>
      <c r="BE9" s="133" t="s">
        <v>106</v>
      </c>
      <c r="BF9" s="117"/>
      <c r="BG9" s="117"/>
      <c r="BH9" s="117"/>
      <c r="BI9" s="119"/>
      <c r="BJ9" s="133" t="s">
        <v>109</v>
      </c>
      <c r="BK9" s="117"/>
      <c r="BL9" s="117"/>
      <c r="BM9" s="117"/>
      <c r="BN9" s="119"/>
      <c r="BO9" s="133" t="s">
        <v>111</v>
      </c>
      <c r="BP9" s="117"/>
      <c r="BQ9" s="117"/>
      <c r="BR9" s="117"/>
      <c r="BS9" s="119"/>
      <c r="BT9" s="113"/>
    </row>
    <row r="10" ht="17.25" customHeight="1">
      <c r="A10" s="136"/>
      <c r="L10" s="137" t="s">
        <v>115</v>
      </c>
      <c r="M10" s="137" t="s">
        <v>118</v>
      </c>
      <c r="N10" s="137" t="s">
        <v>119</v>
      </c>
      <c r="O10" s="137" t="s">
        <v>120</v>
      </c>
      <c r="P10" s="137" t="s">
        <v>121</v>
      </c>
      <c r="Q10" s="137" t="s">
        <v>115</v>
      </c>
      <c r="R10" s="137" t="s">
        <v>118</v>
      </c>
      <c r="S10" s="137" t="s">
        <v>119</v>
      </c>
      <c r="T10" s="137" t="s">
        <v>120</v>
      </c>
      <c r="U10" s="137" t="s">
        <v>121</v>
      </c>
      <c r="V10" s="137" t="s">
        <v>115</v>
      </c>
      <c r="W10" s="137" t="s">
        <v>118</v>
      </c>
      <c r="X10" s="137" t="s">
        <v>119</v>
      </c>
      <c r="Y10" s="137" t="s">
        <v>120</v>
      </c>
      <c r="Z10" s="137" t="s">
        <v>121</v>
      </c>
      <c r="AA10" s="139" t="s">
        <v>115</v>
      </c>
      <c r="AB10" s="139" t="s">
        <v>118</v>
      </c>
      <c r="AC10" s="139" t="s">
        <v>119</v>
      </c>
      <c r="AD10" s="139" t="s">
        <v>120</v>
      </c>
      <c r="AE10" s="139" t="s">
        <v>121</v>
      </c>
      <c r="AF10" s="139" t="s">
        <v>115</v>
      </c>
      <c r="AG10" s="139" t="s">
        <v>118</v>
      </c>
      <c r="AH10" s="139" t="s">
        <v>119</v>
      </c>
      <c r="AI10" s="139" t="s">
        <v>120</v>
      </c>
      <c r="AJ10" s="139" t="s">
        <v>121</v>
      </c>
      <c r="AK10" s="139" t="s">
        <v>115</v>
      </c>
      <c r="AL10" s="139" t="s">
        <v>118</v>
      </c>
      <c r="AM10" s="139" t="s">
        <v>119</v>
      </c>
      <c r="AN10" s="139" t="s">
        <v>120</v>
      </c>
      <c r="AO10" s="139" t="s">
        <v>121</v>
      </c>
      <c r="AP10" s="140" t="s">
        <v>115</v>
      </c>
      <c r="AQ10" s="140" t="s">
        <v>118</v>
      </c>
      <c r="AR10" s="140" t="s">
        <v>119</v>
      </c>
      <c r="AS10" s="140" t="s">
        <v>120</v>
      </c>
      <c r="AT10" s="140" t="s">
        <v>121</v>
      </c>
      <c r="AU10" s="140" t="s">
        <v>115</v>
      </c>
      <c r="AV10" s="140" t="s">
        <v>118</v>
      </c>
      <c r="AW10" s="140" t="s">
        <v>119</v>
      </c>
      <c r="AX10" s="140" t="s">
        <v>120</v>
      </c>
      <c r="AY10" s="140" t="s">
        <v>121</v>
      </c>
      <c r="AZ10" s="140" t="s">
        <v>115</v>
      </c>
      <c r="BA10" s="140" t="s">
        <v>118</v>
      </c>
      <c r="BB10" s="140" t="s">
        <v>119</v>
      </c>
      <c r="BC10" s="140" t="s">
        <v>120</v>
      </c>
      <c r="BD10" s="140" t="s">
        <v>121</v>
      </c>
      <c r="BE10" s="144" t="s">
        <v>115</v>
      </c>
      <c r="BF10" s="144" t="s">
        <v>118</v>
      </c>
      <c r="BG10" s="144" t="s">
        <v>119</v>
      </c>
      <c r="BH10" s="144" t="s">
        <v>120</v>
      </c>
      <c r="BI10" s="144" t="s">
        <v>121</v>
      </c>
      <c r="BJ10" s="144" t="s">
        <v>115</v>
      </c>
      <c r="BK10" s="144" t="s">
        <v>118</v>
      </c>
      <c r="BL10" s="144" t="s">
        <v>119</v>
      </c>
      <c r="BM10" s="144" t="s">
        <v>120</v>
      </c>
      <c r="BN10" s="144" t="s">
        <v>121</v>
      </c>
      <c r="BO10" s="144" t="s">
        <v>115</v>
      </c>
      <c r="BP10" s="144" t="s">
        <v>118</v>
      </c>
      <c r="BQ10" s="144" t="s">
        <v>119</v>
      </c>
      <c r="BR10" s="144" t="s">
        <v>120</v>
      </c>
      <c r="BS10" s="144" t="s">
        <v>121</v>
      </c>
      <c r="BT10" s="136"/>
    </row>
    <row r="11" ht="21.0" customHeight="1">
      <c r="A11" s="81"/>
      <c r="B11" s="146">
        <v>1.0</v>
      </c>
      <c r="C11" s="147" t="s">
        <v>134</v>
      </c>
      <c r="D11" s="149"/>
      <c r="E11" s="149"/>
      <c r="F11" s="149"/>
      <c r="G11" s="149"/>
      <c r="H11" s="150"/>
      <c r="I11" s="150"/>
      <c r="J11" s="150"/>
      <c r="K11" s="150"/>
      <c r="L11" s="151"/>
      <c r="M11" s="152"/>
      <c r="N11" s="154"/>
      <c r="O11" s="154"/>
      <c r="P11" s="155"/>
      <c r="Q11" s="151"/>
      <c r="R11" s="155"/>
      <c r="S11" s="151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5"/>
      <c r="BM11" s="155"/>
      <c r="BN11" s="155"/>
      <c r="BO11" s="155"/>
      <c r="BP11" s="155"/>
      <c r="BQ11" s="155"/>
      <c r="BR11" s="155"/>
      <c r="BS11" s="155"/>
      <c r="BT11" s="81"/>
    </row>
    <row r="12" ht="17.25" customHeight="1" outlineLevel="1">
      <c r="A12" s="158"/>
      <c r="B12" s="159">
        <v>1.0</v>
      </c>
      <c r="C12" s="160" t="s">
        <v>141</v>
      </c>
      <c r="D12" s="162" t="s">
        <v>142</v>
      </c>
      <c r="E12" s="163">
        <v>46129.0</v>
      </c>
      <c r="F12" s="163">
        <v>46137.0</v>
      </c>
      <c r="G12" s="165">
        <f t="shared" ref="G12:G22" si="1">DAYS360(E12,F12)</f>
        <v>8</v>
      </c>
      <c r="H12" s="166" t="s">
        <v>143</v>
      </c>
      <c r="I12" s="168" t="s">
        <v>145</v>
      </c>
      <c r="J12" s="170" t="s">
        <v>141</v>
      </c>
      <c r="K12" s="171" t="s">
        <v>146</v>
      </c>
      <c r="L12" s="172"/>
      <c r="M12" s="173"/>
      <c r="N12" s="174"/>
      <c r="O12" s="174"/>
      <c r="P12" s="175"/>
      <c r="Q12" s="176"/>
      <c r="R12" s="176"/>
      <c r="S12" s="176"/>
      <c r="T12" s="176"/>
      <c r="U12" s="176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9"/>
      <c r="AG12" s="179"/>
      <c r="AH12" s="179"/>
      <c r="AI12" s="179"/>
      <c r="AJ12" s="179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81"/>
      <c r="AV12" s="181"/>
      <c r="AW12" s="181"/>
      <c r="AX12" s="181"/>
      <c r="AY12" s="181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82"/>
      <c r="BK12" s="182"/>
      <c r="BL12" s="182"/>
      <c r="BM12" s="182"/>
      <c r="BN12" s="182"/>
      <c r="BO12" s="177"/>
      <c r="BP12" s="177"/>
      <c r="BQ12" s="177"/>
      <c r="BR12" s="177"/>
      <c r="BS12" s="183"/>
      <c r="BT12" s="158"/>
    </row>
    <row r="13" ht="17.25" customHeight="1" outlineLevel="1">
      <c r="A13" s="158"/>
      <c r="B13" s="159">
        <v>2.0</v>
      </c>
      <c r="C13" s="160" t="s">
        <v>148</v>
      </c>
      <c r="D13" s="162" t="s">
        <v>149</v>
      </c>
      <c r="E13" s="163">
        <v>46124.0</v>
      </c>
      <c r="F13" s="163">
        <v>46141.0</v>
      </c>
      <c r="G13" s="165">
        <f t="shared" si="1"/>
        <v>17</v>
      </c>
      <c r="H13" s="166" t="s">
        <v>150</v>
      </c>
      <c r="I13" s="168" t="s">
        <v>145</v>
      </c>
      <c r="J13" s="184" t="s">
        <v>148</v>
      </c>
      <c r="K13" s="171" t="s">
        <v>151</v>
      </c>
      <c r="L13" s="185"/>
      <c r="M13" s="186"/>
      <c r="N13" s="187"/>
      <c r="O13" s="187"/>
      <c r="P13" s="188"/>
      <c r="Q13" s="176"/>
      <c r="R13" s="176"/>
      <c r="S13" s="176"/>
      <c r="T13" s="176"/>
      <c r="U13" s="176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9"/>
      <c r="AG13" s="189"/>
      <c r="AH13" s="189"/>
      <c r="AI13" s="189"/>
      <c r="AJ13" s="189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90"/>
      <c r="AV13" s="190"/>
      <c r="AW13" s="190"/>
      <c r="AX13" s="190"/>
      <c r="AY13" s="190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91"/>
      <c r="BK13" s="191"/>
      <c r="BL13" s="191"/>
      <c r="BM13" s="191"/>
      <c r="BN13" s="191"/>
      <c r="BO13" s="188"/>
      <c r="BP13" s="188"/>
      <c r="BQ13" s="188"/>
      <c r="BR13" s="188"/>
      <c r="BS13" s="192"/>
      <c r="BT13" s="158"/>
    </row>
    <row r="14" ht="17.25" customHeight="1" outlineLevel="1">
      <c r="A14" s="158"/>
      <c r="B14" s="159">
        <v>3.0</v>
      </c>
      <c r="C14" s="160" t="s">
        <v>152</v>
      </c>
      <c r="D14" s="162" t="s">
        <v>153</v>
      </c>
      <c r="E14" s="163">
        <v>46129.0</v>
      </c>
      <c r="F14" s="163">
        <v>46130.0</v>
      </c>
      <c r="G14" s="165">
        <f t="shared" si="1"/>
        <v>1</v>
      </c>
      <c r="H14" s="166" t="s">
        <v>154</v>
      </c>
      <c r="I14" s="168" t="s">
        <v>155</v>
      </c>
      <c r="J14" s="184" t="s">
        <v>152</v>
      </c>
      <c r="K14" s="171"/>
      <c r="L14" s="185"/>
      <c r="M14" s="186"/>
      <c r="N14" s="187"/>
      <c r="O14" s="187"/>
      <c r="P14" s="188"/>
      <c r="Q14" s="176"/>
      <c r="R14" s="176"/>
      <c r="S14" s="176"/>
      <c r="T14" s="176"/>
      <c r="U14" s="176"/>
      <c r="V14" s="194"/>
      <c r="W14" s="194"/>
      <c r="X14" s="194"/>
      <c r="Y14" s="194"/>
      <c r="Z14" s="194"/>
      <c r="AA14" s="188"/>
      <c r="AB14" s="188"/>
      <c r="AC14" s="188"/>
      <c r="AD14" s="188"/>
      <c r="AE14" s="188"/>
      <c r="AF14" s="189"/>
      <c r="AG14" s="189"/>
      <c r="AH14" s="189"/>
      <c r="AI14" s="189"/>
      <c r="AJ14" s="189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90"/>
      <c r="AV14" s="190"/>
      <c r="AW14" s="190"/>
      <c r="AX14" s="190"/>
      <c r="AY14" s="190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91"/>
      <c r="BK14" s="191"/>
      <c r="BL14" s="191"/>
      <c r="BM14" s="191"/>
      <c r="BN14" s="191"/>
      <c r="BO14" s="188"/>
      <c r="BP14" s="188"/>
      <c r="BQ14" s="188"/>
      <c r="BR14" s="188"/>
      <c r="BS14" s="192"/>
      <c r="BT14" s="158"/>
    </row>
    <row r="15" ht="17.25" customHeight="1" outlineLevel="1">
      <c r="A15" s="158"/>
      <c r="B15" s="159">
        <v>4.0</v>
      </c>
      <c r="C15" s="160" t="s">
        <v>156</v>
      </c>
      <c r="D15" s="162" t="s">
        <v>157</v>
      </c>
      <c r="E15" s="163">
        <v>46129.0</v>
      </c>
      <c r="F15" s="163">
        <v>46134.0</v>
      </c>
      <c r="G15" s="165">
        <f t="shared" si="1"/>
        <v>5</v>
      </c>
      <c r="H15" s="166" t="s">
        <v>154</v>
      </c>
      <c r="I15" s="168" t="s">
        <v>145</v>
      </c>
      <c r="J15" s="170" t="s">
        <v>158</v>
      </c>
      <c r="K15" s="171"/>
      <c r="L15" s="185"/>
      <c r="M15" s="186"/>
      <c r="N15" s="187"/>
      <c r="O15" s="187"/>
      <c r="P15" s="188"/>
      <c r="Q15" s="176"/>
      <c r="R15" s="176"/>
      <c r="S15" s="176"/>
      <c r="T15" s="176"/>
      <c r="U15" s="176"/>
      <c r="V15" s="194"/>
      <c r="W15" s="194"/>
      <c r="X15" s="194"/>
      <c r="Y15" s="194"/>
      <c r="Z15" s="194"/>
      <c r="AA15" s="188"/>
      <c r="AB15" s="188"/>
      <c r="AC15" s="188"/>
      <c r="AD15" s="188"/>
      <c r="AE15" s="188"/>
      <c r="AF15" s="189"/>
      <c r="AG15" s="189"/>
      <c r="AH15" s="189"/>
      <c r="AI15" s="189"/>
      <c r="AJ15" s="189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90"/>
      <c r="AV15" s="190"/>
      <c r="AW15" s="190"/>
      <c r="AX15" s="190"/>
      <c r="AY15" s="190"/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91"/>
      <c r="BK15" s="191"/>
      <c r="BL15" s="191"/>
      <c r="BM15" s="191"/>
      <c r="BN15" s="191"/>
      <c r="BO15" s="188"/>
      <c r="BP15" s="188"/>
      <c r="BQ15" s="188"/>
      <c r="BR15" s="188"/>
      <c r="BS15" s="192"/>
      <c r="BT15" s="158"/>
    </row>
    <row r="16" ht="17.25" customHeight="1" outlineLevel="1">
      <c r="A16" s="158"/>
      <c r="B16" s="159">
        <v>5.0</v>
      </c>
      <c r="C16" s="160" t="s">
        <v>159</v>
      </c>
      <c r="D16" s="162" t="s">
        <v>160</v>
      </c>
      <c r="E16" s="163">
        <v>46150.0</v>
      </c>
      <c r="F16" s="163">
        <v>46215.0</v>
      </c>
      <c r="G16" s="165">
        <f t="shared" si="1"/>
        <v>64</v>
      </c>
      <c r="H16" s="166" t="s">
        <v>154</v>
      </c>
      <c r="I16" s="168" t="s">
        <v>145</v>
      </c>
      <c r="J16" s="184" t="s">
        <v>161</v>
      </c>
      <c r="K16" s="171"/>
      <c r="L16" s="185"/>
      <c r="M16" s="186"/>
      <c r="N16" s="188"/>
      <c r="O16" s="188"/>
      <c r="P16" s="188"/>
      <c r="Q16" s="176"/>
      <c r="R16" s="176"/>
      <c r="S16" s="176"/>
      <c r="T16" s="176"/>
      <c r="U16" s="176"/>
      <c r="V16" s="194"/>
      <c r="W16" s="194"/>
      <c r="X16" s="194"/>
      <c r="Y16" s="194"/>
      <c r="Z16" s="194"/>
      <c r="AA16" s="188"/>
      <c r="AB16" s="188"/>
      <c r="AC16" s="188"/>
      <c r="AD16" s="188"/>
      <c r="AE16" s="188"/>
      <c r="AF16" s="189"/>
      <c r="AG16" s="189"/>
      <c r="AH16" s="189"/>
      <c r="AI16" s="189"/>
      <c r="AJ16" s="189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90"/>
      <c r="AV16" s="190"/>
      <c r="AW16" s="190"/>
      <c r="AX16" s="190"/>
      <c r="AY16" s="190"/>
      <c r="AZ16" s="188"/>
      <c r="BA16" s="188"/>
      <c r="BB16" s="188"/>
      <c r="BC16" s="188"/>
      <c r="BD16" s="188"/>
      <c r="BE16" s="188"/>
      <c r="BF16" s="188"/>
      <c r="BG16" s="188"/>
      <c r="BH16" s="188"/>
      <c r="BI16" s="188"/>
      <c r="BJ16" s="191"/>
      <c r="BK16" s="191"/>
      <c r="BL16" s="191"/>
      <c r="BM16" s="191"/>
      <c r="BN16" s="191"/>
      <c r="BO16" s="188"/>
      <c r="BP16" s="188"/>
      <c r="BQ16" s="188"/>
      <c r="BR16" s="188"/>
      <c r="BS16" s="192"/>
      <c r="BT16" s="158"/>
    </row>
    <row r="17" ht="17.25" customHeight="1" outlineLevel="1">
      <c r="A17" s="158"/>
      <c r="B17" s="159">
        <v>6.0</v>
      </c>
      <c r="C17" s="160" t="s">
        <v>163</v>
      </c>
      <c r="D17" s="162" t="s">
        <v>164</v>
      </c>
      <c r="E17" s="163">
        <v>46175.0</v>
      </c>
      <c r="F17" s="163">
        <v>46254.0</v>
      </c>
      <c r="G17" s="166">
        <f t="shared" si="1"/>
        <v>78</v>
      </c>
      <c r="H17" s="166" t="s">
        <v>165</v>
      </c>
      <c r="I17" s="168" t="s">
        <v>145</v>
      </c>
      <c r="J17" s="199" t="s">
        <v>166</v>
      </c>
      <c r="K17" s="200"/>
      <c r="L17" s="201"/>
      <c r="M17" s="202"/>
      <c r="N17" s="203"/>
      <c r="O17" s="203"/>
      <c r="P17" s="203"/>
      <c r="Q17" s="176"/>
      <c r="R17" s="176"/>
      <c r="S17" s="176"/>
      <c r="T17" s="176"/>
      <c r="U17" s="176"/>
      <c r="V17" s="204"/>
      <c r="W17" s="204"/>
      <c r="X17" s="204"/>
      <c r="Y17" s="204"/>
      <c r="Z17" s="204"/>
      <c r="AA17" s="203"/>
      <c r="AB17" s="203"/>
      <c r="AC17" s="203"/>
      <c r="AD17" s="203"/>
      <c r="AE17" s="203"/>
      <c r="AF17" s="205"/>
      <c r="AG17" s="205"/>
      <c r="AH17" s="205"/>
      <c r="AI17" s="205"/>
      <c r="AJ17" s="205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6"/>
      <c r="AV17" s="206"/>
      <c r="AW17" s="206"/>
      <c r="AX17" s="206"/>
      <c r="AY17" s="206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7"/>
      <c r="BK17" s="207"/>
      <c r="BL17" s="207"/>
      <c r="BM17" s="207"/>
      <c r="BN17" s="207"/>
      <c r="BO17" s="203"/>
      <c r="BP17" s="203"/>
      <c r="BQ17" s="203"/>
      <c r="BR17" s="203"/>
      <c r="BS17" s="208"/>
      <c r="BT17" s="158"/>
    </row>
    <row r="18" ht="17.25" customHeight="1" outlineLevel="1">
      <c r="A18" s="158"/>
      <c r="B18" s="159">
        <v>7.0</v>
      </c>
      <c r="C18" s="160" t="s">
        <v>167</v>
      </c>
      <c r="D18" s="162" t="s">
        <v>168</v>
      </c>
      <c r="E18" s="163">
        <v>46129.0</v>
      </c>
      <c r="F18" s="163">
        <v>46269.0</v>
      </c>
      <c r="G18" s="165">
        <f t="shared" si="1"/>
        <v>137</v>
      </c>
      <c r="H18" s="166" t="s">
        <v>165</v>
      </c>
      <c r="I18" s="168" t="s">
        <v>145</v>
      </c>
      <c r="J18" s="170" t="s">
        <v>158</v>
      </c>
      <c r="K18" s="171"/>
      <c r="L18" s="185"/>
      <c r="M18" s="186"/>
      <c r="N18" s="188"/>
      <c r="O18" s="188"/>
      <c r="P18" s="188"/>
      <c r="Q18" s="176"/>
      <c r="R18" s="176"/>
      <c r="S18" s="176"/>
      <c r="T18" s="176"/>
      <c r="U18" s="176"/>
      <c r="V18" s="194"/>
      <c r="W18" s="194"/>
      <c r="X18" s="194"/>
      <c r="Y18" s="194"/>
      <c r="Z18" s="194"/>
      <c r="AA18" s="188"/>
      <c r="AB18" s="188"/>
      <c r="AC18" s="188"/>
      <c r="AD18" s="188"/>
      <c r="AE18" s="188"/>
      <c r="AF18" s="189"/>
      <c r="AG18" s="189"/>
      <c r="AH18" s="189"/>
      <c r="AI18" s="189"/>
      <c r="AJ18" s="189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90"/>
      <c r="AV18" s="190"/>
      <c r="AW18" s="190"/>
      <c r="AX18" s="190"/>
      <c r="AY18" s="190"/>
      <c r="AZ18" s="188"/>
      <c r="BA18" s="188"/>
      <c r="BB18" s="188"/>
      <c r="BC18" s="188"/>
      <c r="BD18" s="188"/>
      <c r="BE18" s="188"/>
      <c r="BF18" s="188"/>
      <c r="BG18" s="188"/>
      <c r="BH18" s="188"/>
      <c r="BI18" s="188"/>
      <c r="BJ18" s="191"/>
      <c r="BK18" s="191"/>
      <c r="BL18" s="191"/>
      <c r="BM18" s="191"/>
      <c r="BN18" s="191"/>
      <c r="BO18" s="188"/>
      <c r="BP18" s="188"/>
      <c r="BQ18" s="188"/>
      <c r="BR18" s="188"/>
      <c r="BS18" s="192"/>
      <c r="BT18" s="158"/>
    </row>
    <row r="19" ht="17.25" customHeight="1" outlineLevel="1">
      <c r="A19" s="158"/>
      <c r="B19" s="159">
        <v>8.0</v>
      </c>
      <c r="C19" s="160" t="s">
        <v>169</v>
      </c>
      <c r="D19" s="162" t="s">
        <v>170</v>
      </c>
      <c r="E19" s="163">
        <v>46270.0</v>
      </c>
      <c r="F19" s="163">
        <v>46312.0</v>
      </c>
      <c r="G19" s="166">
        <f t="shared" si="1"/>
        <v>42</v>
      </c>
      <c r="H19" s="166" t="s">
        <v>165</v>
      </c>
      <c r="I19" s="168" t="s">
        <v>145</v>
      </c>
      <c r="J19" s="209" t="s">
        <v>172</v>
      </c>
      <c r="K19" s="200"/>
      <c r="L19" s="201"/>
      <c r="M19" s="202"/>
      <c r="N19" s="203"/>
      <c r="O19" s="203"/>
      <c r="P19" s="203"/>
      <c r="Q19" s="176"/>
      <c r="R19" s="176"/>
      <c r="S19" s="176"/>
      <c r="T19" s="176"/>
      <c r="U19" s="176"/>
      <c r="V19" s="204"/>
      <c r="W19" s="204"/>
      <c r="X19" s="204"/>
      <c r="Y19" s="204"/>
      <c r="Z19" s="204"/>
      <c r="AA19" s="203"/>
      <c r="AB19" s="203"/>
      <c r="AC19" s="203"/>
      <c r="AD19" s="203"/>
      <c r="AE19" s="203"/>
      <c r="AF19" s="205"/>
      <c r="AG19" s="205"/>
      <c r="AH19" s="205"/>
      <c r="AI19" s="205"/>
      <c r="AJ19" s="205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6"/>
      <c r="AV19" s="206"/>
      <c r="AW19" s="206"/>
      <c r="AX19" s="206"/>
      <c r="AY19" s="206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7"/>
      <c r="BK19" s="207"/>
      <c r="BL19" s="207"/>
      <c r="BM19" s="207"/>
      <c r="BN19" s="207"/>
      <c r="BO19" s="203"/>
      <c r="BP19" s="203"/>
      <c r="BQ19" s="203"/>
      <c r="BR19" s="203"/>
      <c r="BS19" s="208"/>
      <c r="BT19" s="158"/>
    </row>
    <row r="20" ht="17.25" customHeight="1" outlineLevel="1">
      <c r="A20" s="158"/>
      <c r="B20" s="159">
        <v>9.0</v>
      </c>
      <c r="C20" s="210" t="s">
        <v>173</v>
      </c>
      <c r="D20" s="162" t="s">
        <v>149</v>
      </c>
      <c r="E20" s="163">
        <v>46129.0</v>
      </c>
      <c r="F20" s="163">
        <v>46485.0</v>
      </c>
      <c r="G20" s="166">
        <f t="shared" si="1"/>
        <v>351</v>
      </c>
      <c r="H20" s="166" t="s">
        <v>165</v>
      </c>
      <c r="I20" s="168" t="s">
        <v>145</v>
      </c>
      <c r="J20" s="199" t="s">
        <v>173</v>
      </c>
      <c r="K20" s="200"/>
      <c r="L20" s="201"/>
      <c r="M20" s="202"/>
      <c r="N20" s="203"/>
      <c r="O20" s="203"/>
      <c r="P20" s="203"/>
      <c r="Q20" s="176"/>
      <c r="R20" s="176"/>
      <c r="S20" s="176"/>
      <c r="T20" s="176"/>
      <c r="U20" s="176"/>
      <c r="V20" s="204"/>
      <c r="W20" s="204"/>
      <c r="X20" s="204"/>
      <c r="Y20" s="204"/>
      <c r="Z20" s="204"/>
      <c r="AA20" s="203"/>
      <c r="AB20" s="203"/>
      <c r="AC20" s="203"/>
      <c r="AD20" s="203"/>
      <c r="AE20" s="203"/>
      <c r="AF20" s="205"/>
      <c r="AG20" s="205"/>
      <c r="AH20" s="205"/>
      <c r="AI20" s="205"/>
      <c r="AJ20" s="205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6"/>
      <c r="AV20" s="206"/>
      <c r="AW20" s="206"/>
      <c r="AX20" s="206"/>
      <c r="AY20" s="206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7"/>
      <c r="BK20" s="207"/>
      <c r="BL20" s="207"/>
      <c r="BM20" s="207"/>
      <c r="BN20" s="207"/>
      <c r="BO20" s="203"/>
      <c r="BP20" s="203"/>
      <c r="BQ20" s="203"/>
      <c r="BR20" s="203"/>
      <c r="BS20" s="208"/>
      <c r="BT20" s="158"/>
    </row>
    <row r="21" ht="17.25" customHeight="1" outlineLevel="1">
      <c r="A21" s="158"/>
      <c r="B21" s="211">
        <v>10.0</v>
      </c>
      <c r="C21" s="213" t="s">
        <v>175</v>
      </c>
      <c r="D21" s="162" t="s">
        <v>176</v>
      </c>
      <c r="E21" s="163">
        <v>46163.0</v>
      </c>
      <c r="F21" s="163">
        <v>46191.0</v>
      </c>
      <c r="G21" s="166">
        <f t="shared" si="1"/>
        <v>27</v>
      </c>
      <c r="H21" s="166" t="s">
        <v>154</v>
      </c>
      <c r="I21" s="168" t="s">
        <v>145</v>
      </c>
      <c r="J21" s="184" t="s">
        <v>177</v>
      </c>
      <c r="K21" s="214"/>
      <c r="L21" s="215"/>
      <c r="M21" s="216"/>
      <c r="N21" s="217"/>
      <c r="O21" s="217"/>
      <c r="P21" s="217"/>
      <c r="Q21" s="218"/>
      <c r="R21" s="218"/>
      <c r="S21" s="218"/>
      <c r="T21" s="218"/>
      <c r="U21" s="218"/>
      <c r="V21" s="219"/>
      <c r="W21" s="219"/>
      <c r="X21" s="219"/>
      <c r="Y21" s="219"/>
      <c r="Z21" s="219"/>
      <c r="AA21" s="217"/>
      <c r="AB21" s="217"/>
      <c r="AC21" s="217"/>
      <c r="AD21" s="217"/>
      <c r="AE21" s="217"/>
      <c r="AF21" s="220"/>
      <c r="AG21" s="220"/>
      <c r="AH21" s="220"/>
      <c r="AI21" s="220"/>
      <c r="AJ21" s="220"/>
      <c r="AK21" s="217"/>
      <c r="AL21" s="217"/>
      <c r="AM21" s="217"/>
      <c r="AN21" s="217"/>
      <c r="AO21" s="217"/>
      <c r="AP21" s="217"/>
      <c r="AQ21" s="217"/>
      <c r="AR21" s="217"/>
      <c r="AS21" s="217"/>
      <c r="AT21" s="217"/>
      <c r="AU21" s="221"/>
      <c r="AV21" s="221"/>
      <c r="AW21" s="221"/>
      <c r="AX21" s="221"/>
      <c r="AY21" s="221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22"/>
      <c r="BK21" s="222"/>
      <c r="BL21" s="222"/>
      <c r="BM21" s="222"/>
      <c r="BN21" s="222"/>
      <c r="BO21" s="217"/>
      <c r="BP21" s="217"/>
      <c r="BQ21" s="217"/>
      <c r="BR21" s="217"/>
      <c r="BS21" s="217"/>
      <c r="BT21" s="158"/>
    </row>
    <row r="22" ht="17.25" customHeight="1" outlineLevel="1">
      <c r="A22" s="158"/>
      <c r="B22" s="211">
        <v>11.0</v>
      </c>
      <c r="C22" s="213" t="s">
        <v>178</v>
      </c>
      <c r="D22" s="162" t="s">
        <v>179</v>
      </c>
      <c r="E22" s="163">
        <v>46163.0</v>
      </c>
      <c r="F22" s="163">
        <v>46191.0</v>
      </c>
      <c r="G22" s="166">
        <f t="shared" si="1"/>
        <v>27</v>
      </c>
      <c r="H22" s="166" t="s">
        <v>154</v>
      </c>
      <c r="I22" s="168" t="s">
        <v>145</v>
      </c>
      <c r="J22" s="184" t="s">
        <v>178</v>
      </c>
      <c r="K22" s="214"/>
      <c r="L22" s="215"/>
      <c r="M22" s="216"/>
      <c r="N22" s="217"/>
      <c r="O22" s="217"/>
      <c r="P22" s="217"/>
      <c r="Q22" s="218"/>
      <c r="R22" s="218"/>
      <c r="S22" s="218"/>
      <c r="T22" s="218"/>
      <c r="U22" s="218"/>
      <c r="V22" s="219"/>
      <c r="W22" s="219"/>
      <c r="X22" s="219"/>
      <c r="Y22" s="219"/>
      <c r="Z22" s="219"/>
      <c r="AA22" s="217"/>
      <c r="AB22" s="217"/>
      <c r="AC22" s="217"/>
      <c r="AD22" s="217"/>
      <c r="AE22" s="217"/>
      <c r="AF22" s="220"/>
      <c r="AG22" s="220"/>
      <c r="AH22" s="220"/>
      <c r="AI22" s="220"/>
      <c r="AJ22" s="220"/>
      <c r="AK22" s="217"/>
      <c r="AL22" s="217"/>
      <c r="AM22" s="217"/>
      <c r="AN22" s="217"/>
      <c r="AO22" s="217"/>
      <c r="AP22" s="217"/>
      <c r="AQ22" s="217"/>
      <c r="AR22" s="217"/>
      <c r="AS22" s="217"/>
      <c r="AT22" s="217"/>
      <c r="AU22" s="221"/>
      <c r="AV22" s="221"/>
      <c r="AW22" s="221"/>
      <c r="AX22" s="221"/>
      <c r="AY22" s="221"/>
      <c r="AZ22" s="217"/>
      <c r="BA22" s="217"/>
      <c r="BB22" s="217"/>
      <c r="BC22" s="217"/>
      <c r="BD22" s="217"/>
      <c r="BE22" s="217"/>
      <c r="BF22" s="217"/>
      <c r="BG22" s="217"/>
      <c r="BH22" s="217"/>
      <c r="BI22" s="217"/>
      <c r="BJ22" s="222"/>
      <c r="BK22" s="222"/>
      <c r="BL22" s="222"/>
      <c r="BM22" s="222"/>
      <c r="BN22" s="222"/>
      <c r="BO22" s="217"/>
      <c r="BP22" s="217"/>
      <c r="BQ22" s="217"/>
      <c r="BR22" s="217"/>
      <c r="BS22" s="217"/>
      <c r="BT22" s="158"/>
    </row>
    <row r="23" ht="21.0" customHeight="1">
      <c r="A23" s="81"/>
      <c r="B23" s="146">
        <v>2.0</v>
      </c>
      <c r="C23" s="147" t="s">
        <v>180</v>
      </c>
      <c r="D23" s="149"/>
      <c r="E23" s="224"/>
      <c r="F23" s="224"/>
      <c r="G23" s="149"/>
      <c r="H23" s="149"/>
      <c r="I23" s="225"/>
      <c r="J23" s="150"/>
      <c r="K23" s="150"/>
      <c r="L23" s="151"/>
      <c r="M23" s="152"/>
      <c r="N23" s="154"/>
      <c r="O23" s="154"/>
      <c r="P23" s="155"/>
      <c r="Q23" s="151"/>
      <c r="R23" s="155"/>
      <c r="S23" s="151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81"/>
    </row>
    <row r="24" ht="17.25" customHeight="1" outlineLevel="1">
      <c r="A24" s="158"/>
      <c r="B24" s="159">
        <v>1.0</v>
      </c>
      <c r="C24" s="160" t="s">
        <v>181</v>
      </c>
      <c r="D24" s="162" t="s">
        <v>182</v>
      </c>
      <c r="E24" s="163">
        <v>46129.0</v>
      </c>
      <c r="F24" s="163">
        <v>46129.0</v>
      </c>
      <c r="G24" s="166">
        <f>DAYS360(E24,F24)</f>
        <v>0</v>
      </c>
      <c r="H24" s="166" t="s">
        <v>143</v>
      </c>
      <c r="I24" s="168" t="s">
        <v>183</v>
      </c>
      <c r="J24" s="226"/>
      <c r="K24" s="171"/>
      <c r="L24" s="228"/>
      <c r="M24" s="173"/>
      <c r="N24" s="174"/>
      <c r="O24" s="174"/>
      <c r="P24" s="174"/>
      <c r="Q24" s="229"/>
      <c r="R24" s="229"/>
      <c r="S24" s="229"/>
      <c r="T24" s="229"/>
      <c r="U24" s="229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9"/>
      <c r="AG24" s="179"/>
      <c r="AH24" s="179"/>
      <c r="AI24" s="179"/>
      <c r="AJ24" s="179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81"/>
      <c r="AV24" s="181"/>
      <c r="AW24" s="181"/>
      <c r="AX24" s="181"/>
      <c r="AY24" s="181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82"/>
      <c r="BK24" s="182"/>
      <c r="BL24" s="182"/>
      <c r="BM24" s="182"/>
      <c r="BN24" s="182"/>
      <c r="BO24" s="177"/>
      <c r="BP24" s="177"/>
      <c r="BQ24" s="177"/>
      <c r="BR24" s="177"/>
      <c r="BS24" s="183"/>
      <c r="BT24" s="158"/>
    </row>
    <row r="25" ht="17.25" customHeight="1" outlineLevel="1">
      <c r="A25" s="158"/>
      <c r="B25" s="159">
        <v>2.0</v>
      </c>
      <c r="C25" s="160" t="s">
        <v>184</v>
      </c>
      <c r="D25" s="162" t="s">
        <v>149</v>
      </c>
      <c r="E25" s="163">
        <v>46129.0</v>
      </c>
      <c r="F25" s="163">
        <v>46129.0</v>
      </c>
      <c r="G25" s="165">
        <v>0.0</v>
      </c>
      <c r="H25" s="166" t="s">
        <v>143</v>
      </c>
      <c r="I25" s="168" t="s">
        <v>155</v>
      </c>
      <c r="J25" s="226"/>
      <c r="K25" s="171"/>
      <c r="L25" s="231"/>
      <c r="M25" s="186"/>
      <c r="N25" s="187"/>
      <c r="O25" s="187"/>
      <c r="P25" s="188"/>
      <c r="Q25" s="229"/>
      <c r="R25" s="229"/>
      <c r="S25" s="229"/>
      <c r="T25" s="229"/>
      <c r="U25" s="229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9"/>
      <c r="AG25" s="189"/>
      <c r="AH25" s="189"/>
      <c r="AI25" s="189"/>
      <c r="AJ25" s="189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90"/>
      <c r="AV25" s="190"/>
      <c r="AW25" s="190"/>
      <c r="AX25" s="190"/>
      <c r="AY25" s="190"/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91"/>
      <c r="BK25" s="191"/>
      <c r="BL25" s="191"/>
      <c r="BM25" s="191"/>
      <c r="BN25" s="191"/>
      <c r="BO25" s="188"/>
      <c r="BP25" s="188"/>
      <c r="BQ25" s="188"/>
      <c r="BR25" s="188"/>
      <c r="BS25" s="192"/>
      <c r="BT25" s="158"/>
    </row>
    <row r="26" ht="17.25" customHeight="1" outlineLevel="1">
      <c r="A26" s="158"/>
      <c r="B26" s="159">
        <v>3.0</v>
      </c>
      <c r="C26" s="160" t="s">
        <v>185</v>
      </c>
      <c r="D26" s="162" t="s">
        <v>186</v>
      </c>
      <c r="E26" s="163">
        <v>46129.0</v>
      </c>
      <c r="F26" s="163">
        <v>46129.0</v>
      </c>
      <c r="G26" s="165">
        <v>0.0</v>
      </c>
      <c r="H26" s="166" t="s">
        <v>143</v>
      </c>
      <c r="I26" s="168" t="s">
        <v>183</v>
      </c>
      <c r="J26" s="226"/>
      <c r="K26" s="171"/>
      <c r="L26" s="231"/>
      <c r="M26" s="186"/>
      <c r="N26" s="187"/>
      <c r="O26" s="187"/>
      <c r="P26" s="188"/>
      <c r="Q26" s="229"/>
      <c r="R26" s="229"/>
      <c r="S26" s="229"/>
      <c r="T26" s="229"/>
      <c r="U26" s="229"/>
      <c r="V26" s="174"/>
      <c r="W26" s="174"/>
      <c r="X26" s="174"/>
      <c r="Y26" s="174"/>
      <c r="Z26" s="188"/>
      <c r="AA26" s="188"/>
      <c r="AB26" s="188"/>
      <c r="AC26" s="188"/>
      <c r="AD26" s="188"/>
      <c r="AE26" s="188"/>
      <c r="AF26" s="189"/>
      <c r="AG26" s="189"/>
      <c r="AH26" s="189"/>
      <c r="AI26" s="189"/>
      <c r="AJ26" s="189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90"/>
      <c r="AV26" s="190"/>
      <c r="AW26" s="190"/>
      <c r="AX26" s="190"/>
      <c r="AY26" s="190"/>
      <c r="AZ26" s="188"/>
      <c r="BA26" s="188"/>
      <c r="BB26" s="188"/>
      <c r="BC26" s="188"/>
      <c r="BD26" s="188"/>
      <c r="BE26" s="188"/>
      <c r="BF26" s="188"/>
      <c r="BG26" s="188"/>
      <c r="BH26" s="188"/>
      <c r="BI26" s="188"/>
      <c r="BJ26" s="191"/>
      <c r="BK26" s="191"/>
      <c r="BL26" s="191"/>
      <c r="BM26" s="191"/>
      <c r="BN26" s="191"/>
      <c r="BO26" s="188"/>
      <c r="BP26" s="188"/>
      <c r="BQ26" s="188"/>
      <c r="BR26" s="188"/>
      <c r="BS26" s="192"/>
      <c r="BT26" s="158"/>
    </row>
    <row r="27" ht="17.25" customHeight="1" outlineLevel="1">
      <c r="A27" s="158"/>
      <c r="B27" s="159">
        <v>4.0</v>
      </c>
      <c r="C27" s="160" t="s">
        <v>187</v>
      </c>
      <c r="D27" s="162" t="s">
        <v>157</v>
      </c>
      <c r="E27" s="163">
        <v>46129.0</v>
      </c>
      <c r="F27" s="163">
        <v>46129.0</v>
      </c>
      <c r="G27" s="165">
        <v>0.0</v>
      </c>
      <c r="H27" s="166" t="s">
        <v>143</v>
      </c>
      <c r="I27" s="168" t="s">
        <v>183</v>
      </c>
      <c r="J27" s="226"/>
      <c r="K27" s="200"/>
      <c r="L27" s="231"/>
      <c r="M27" s="186"/>
      <c r="N27" s="187"/>
      <c r="O27" s="187"/>
      <c r="P27" s="188"/>
      <c r="Q27" s="229"/>
      <c r="R27" s="229"/>
      <c r="S27" s="229"/>
      <c r="T27" s="229"/>
      <c r="U27" s="229"/>
      <c r="V27" s="174"/>
      <c r="W27" s="174"/>
      <c r="X27" s="174"/>
      <c r="Y27" s="174"/>
      <c r="Z27" s="188"/>
      <c r="AA27" s="188"/>
      <c r="AB27" s="188"/>
      <c r="AC27" s="188"/>
      <c r="AD27" s="188"/>
      <c r="AE27" s="188"/>
      <c r="AF27" s="189"/>
      <c r="AG27" s="189"/>
      <c r="AH27" s="189"/>
      <c r="AI27" s="189"/>
      <c r="AJ27" s="189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90"/>
      <c r="AV27" s="190"/>
      <c r="AW27" s="190"/>
      <c r="AX27" s="190"/>
      <c r="AY27" s="190"/>
      <c r="AZ27" s="188"/>
      <c r="BA27" s="188"/>
      <c r="BB27" s="188"/>
      <c r="BC27" s="188"/>
      <c r="BD27" s="188"/>
      <c r="BE27" s="188"/>
      <c r="BF27" s="188"/>
      <c r="BG27" s="188"/>
      <c r="BH27" s="188"/>
      <c r="BI27" s="188"/>
      <c r="BJ27" s="191"/>
      <c r="BK27" s="191"/>
      <c r="BL27" s="191"/>
      <c r="BM27" s="191"/>
      <c r="BN27" s="191"/>
      <c r="BO27" s="188"/>
      <c r="BP27" s="188"/>
      <c r="BQ27" s="188"/>
      <c r="BR27" s="188"/>
      <c r="BS27" s="192"/>
      <c r="BT27" s="158"/>
    </row>
    <row r="28" ht="17.25" customHeight="1" outlineLevel="1">
      <c r="A28" s="158"/>
      <c r="B28" s="159">
        <v>5.0</v>
      </c>
      <c r="C28" s="160" t="s">
        <v>188</v>
      </c>
      <c r="D28" s="162" t="s">
        <v>149</v>
      </c>
      <c r="E28" s="163">
        <v>46148.0</v>
      </c>
      <c r="F28" s="163">
        <v>46148.0</v>
      </c>
      <c r="G28" s="165">
        <v>0.0</v>
      </c>
      <c r="H28" s="166" t="s">
        <v>143</v>
      </c>
      <c r="I28" s="168" t="s">
        <v>155</v>
      </c>
      <c r="J28" s="226"/>
      <c r="K28" s="171" t="s">
        <v>189</v>
      </c>
      <c r="L28" s="231"/>
      <c r="M28" s="186"/>
      <c r="N28" s="187"/>
      <c r="O28" s="187"/>
      <c r="P28" s="188"/>
      <c r="Q28" s="229"/>
      <c r="R28" s="229"/>
      <c r="S28" s="229"/>
      <c r="T28" s="229"/>
      <c r="U28" s="229"/>
      <c r="V28" s="174"/>
      <c r="W28" s="174"/>
      <c r="X28" s="174"/>
      <c r="Y28" s="174"/>
      <c r="Z28" s="188"/>
      <c r="AA28" s="188"/>
      <c r="AB28" s="188"/>
      <c r="AC28" s="188"/>
      <c r="AD28" s="188"/>
      <c r="AE28" s="188"/>
      <c r="AF28" s="189"/>
      <c r="AG28" s="189"/>
      <c r="AH28" s="189"/>
      <c r="AI28" s="189"/>
      <c r="AJ28" s="189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90"/>
      <c r="AV28" s="190"/>
      <c r="AW28" s="190"/>
      <c r="AX28" s="190"/>
      <c r="AY28" s="190"/>
      <c r="AZ28" s="188"/>
      <c r="BA28" s="188"/>
      <c r="BB28" s="188"/>
      <c r="BC28" s="188"/>
      <c r="BD28" s="188"/>
      <c r="BE28" s="188"/>
      <c r="BF28" s="188"/>
      <c r="BG28" s="188"/>
      <c r="BH28" s="188"/>
      <c r="BI28" s="188"/>
      <c r="BJ28" s="191"/>
      <c r="BK28" s="191"/>
      <c r="BL28" s="191"/>
      <c r="BM28" s="191"/>
      <c r="BN28" s="191"/>
      <c r="BO28" s="188"/>
      <c r="BP28" s="188"/>
      <c r="BQ28" s="188"/>
      <c r="BR28" s="188"/>
      <c r="BS28" s="192"/>
      <c r="BT28" s="158"/>
    </row>
    <row r="29" ht="17.25" customHeight="1" outlineLevel="1">
      <c r="A29" s="158"/>
      <c r="B29" s="159">
        <v>6.0</v>
      </c>
      <c r="C29" s="160" t="s">
        <v>190</v>
      </c>
      <c r="D29" s="162" t="s">
        <v>192</v>
      </c>
      <c r="E29" s="163">
        <v>46181.0</v>
      </c>
      <c r="F29" s="163">
        <v>46181.0</v>
      </c>
      <c r="G29" s="165">
        <v>0.0</v>
      </c>
      <c r="H29" s="166" t="s">
        <v>143</v>
      </c>
      <c r="I29" s="168" t="s">
        <v>155</v>
      </c>
      <c r="J29" s="226"/>
      <c r="K29" s="171" t="s">
        <v>189</v>
      </c>
      <c r="L29" s="231"/>
      <c r="M29" s="186"/>
      <c r="N29" s="187"/>
      <c r="O29" s="187"/>
      <c r="P29" s="188"/>
      <c r="Q29" s="229"/>
      <c r="R29" s="229"/>
      <c r="S29" s="229"/>
      <c r="T29" s="229"/>
      <c r="U29" s="229"/>
      <c r="V29" s="174"/>
      <c r="W29" s="174"/>
      <c r="X29" s="174"/>
      <c r="Y29" s="174"/>
      <c r="Z29" s="188"/>
      <c r="AA29" s="188"/>
      <c r="AB29" s="188"/>
      <c r="AC29" s="188"/>
      <c r="AD29" s="188"/>
      <c r="AE29" s="188"/>
      <c r="AF29" s="189"/>
      <c r="AG29" s="189"/>
      <c r="AH29" s="189"/>
      <c r="AI29" s="189"/>
      <c r="AJ29" s="189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90"/>
      <c r="AV29" s="190"/>
      <c r="AW29" s="190"/>
      <c r="AX29" s="190"/>
      <c r="AY29" s="190"/>
      <c r="AZ29" s="188"/>
      <c r="BA29" s="188"/>
      <c r="BB29" s="188"/>
      <c r="BC29" s="188"/>
      <c r="BD29" s="188"/>
      <c r="BE29" s="188"/>
      <c r="BF29" s="188"/>
      <c r="BG29" s="188"/>
      <c r="BH29" s="188"/>
      <c r="BI29" s="188"/>
      <c r="BJ29" s="191"/>
      <c r="BK29" s="191"/>
      <c r="BL29" s="191"/>
      <c r="BM29" s="191"/>
      <c r="BN29" s="191"/>
      <c r="BO29" s="188"/>
      <c r="BP29" s="188"/>
      <c r="BQ29" s="188"/>
      <c r="BR29" s="188"/>
      <c r="BS29" s="192"/>
      <c r="BT29" s="158"/>
    </row>
    <row r="30" ht="21.0" customHeight="1">
      <c r="A30" s="81"/>
      <c r="B30" s="146">
        <v>3.0</v>
      </c>
      <c r="C30" s="147" t="s">
        <v>193</v>
      </c>
      <c r="D30" s="149"/>
      <c r="E30" s="224"/>
      <c r="F30" s="224"/>
      <c r="G30" s="149"/>
      <c r="H30" s="150"/>
      <c r="I30" s="225"/>
      <c r="J30" s="150"/>
      <c r="K30" s="150"/>
      <c r="L30" s="151"/>
      <c r="M30" s="152"/>
      <c r="N30" s="154"/>
      <c r="O30" s="154"/>
      <c r="P30" s="155"/>
      <c r="Q30" s="151"/>
      <c r="R30" s="155"/>
      <c r="S30" s="151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81"/>
    </row>
    <row r="31" ht="17.25" customHeight="1" outlineLevel="1">
      <c r="A31" s="158"/>
      <c r="B31" s="159">
        <v>1.0</v>
      </c>
      <c r="C31" s="160" t="s">
        <v>194</v>
      </c>
      <c r="D31" s="162" t="s">
        <v>192</v>
      </c>
      <c r="E31" s="163">
        <v>46148.0</v>
      </c>
      <c r="F31" s="163">
        <v>46148.0</v>
      </c>
      <c r="G31" s="166">
        <f t="shared" ref="G31:G34" si="2">DAYS360(E31,F31)</f>
        <v>0</v>
      </c>
      <c r="H31" s="166" t="s">
        <v>154</v>
      </c>
      <c r="I31" s="168" t="s">
        <v>195</v>
      </c>
      <c r="J31" s="226"/>
      <c r="K31" s="171" t="s">
        <v>197</v>
      </c>
      <c r="L31" s="228"/>
      <c r="M31" s="173"/>
      <c r="N31" s="174"/>
      <c r="O31" s="174"/>
      <c r="P31" s="174"/>
      <c r="Q31" s="229"/>
      <c r="R31" s="229"/>
      <c r="S31" s="229"/>
      <c r="T31" s="229"/>
      <c r="U31" s="229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9"/>
      <c r="AG31" s="179"/>
      <c r="AH31" s="179"/>
      <c r="AI31" s="179"/>
      <c r="AJ31" s="179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81"/>
      <c r="AV31" s="181"/>
      <c r="AW31" s="181"/>
      <c r="AX31" s="181"/>
      <c r="AY31" s="181"/>
      <c r="AZ31" s="177"/>
      <c r="BA31" s="177"/>
      <c r="BB31" s="177"/>
      <c r="BC31" s="177"/>
      <c r="BD31" s="177"/>
      <c r="BE31" s="177"/>
      <c r="BF31" s="177"/>
      <c r="BG31" s="177"/>
      <c r="BH31" s="177"/>
      <c r="BI31" s="177"/>
      <c r="BJ31" s="182"/>
      <c r="BK31" s="182"/>
      <c r="BL31" s="182"/>
      <c r="BM31" s="182"/>
      <c r="BN31" s="182"/>
      <c r="BO31" s="177"/>
      <c r="BP31" s="177"/>
      <c r="BQ31" s="177"/>
      <c r="BR31" s="177"/>
      <c r="BS31" s="183"/>
      <c r="BT31" s="158"/>
    </row>
    <row r="32" ht="17.25" customHeight="1" outlineLevel="1">
      <c r="A32" s="158"/>
      <c r="B32" s="159">
        <v>2.0</v>
      </c>
      <c r="C32" s="160" t="s">
        <v>198</v>
      </c>
      <c r="D32" s="162" t="s">
        <v>199</v>
      </c>
      <c r="E32" s="163">
        <v>46148.0</v>
      </c>
      <c r="F32" s="163">
        <v>46149.0</v>
      </c>
      <c r="G32" s="166">
        <f t="shared" si="2"/>
        <v>1</v>
      </c>
      <c r="H32" s="166" t="s">
        <v>154</v>
      </c>
      <c r="I32" s="168" t="s">
        <v>155</v>
      </c>
      <c r="J32" s="226"/>
      <c r="K32" s="171" t="s">
        <v>200</v>
      </c>
      <c r="L32" s="231"/>
      <c r="M32" s="186"/>
      <c r="N32" s="187"/>
      <c r="O32" s="187"/>
      <c r="P32" s="188"/>
      <c r="Q32" s="232"/>
      <c r="R32" s="176"/>
      <c r="S32" s="176"/>
      <c r="T32" s="176"/>
      <c r="U32" s="176"/>
      <c r="V32" s="188"/>
      <c r="W32" s="188"/>
      <c r="X32" s="188"/>
      <c r="Y32" s="188"/>
      <c r="Z32" s="188"/>
      <c r="AA32" s="188"/>
      <c r="AB32" s="188"/>
      <c r="AC32" s="188"/>
      <c r="AD32" s="188"/>
      <c r="AE32" s="177"/>
      <c r="AF32" s="179"/>
      <c r="AG32" s="179"/>
      <c r="AH32" s="179"/>
      <c r="AI32" s="179"/>
      <c r="AJ32" s="179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90"/>
      <c r="AV32" s="190"/>
      <c r="AW32" s="190"/>
      <c r="AX32" s="190"/>
      <c r="AY32" s="190"/>
      <c r="AZ32" s="188"/>
      <c r="BA32" s="188"/>
      <c r="BB32" s="188"/>
      <c r="BC32" s="188"/>
      <c r="BD32" s="188"/>
      <c r="BE32" s="188"/>
      <c r="BF32" s="188"/>
      <c r="BG32" s="188"/>
      <c r="BH32" s="188"/>
      <c r="BI32" s="188"/>
      <c r="BJ32" s="191"/>
      <c r="BK32" s="191"/>
      <c r="BL32" s="191"/>
      <c r="BM32" s="191"/>
      <c r="BN32" s="191"/>
      <c r="BO32" s="188"/>
      <c r="BP32" s="188"/>
      <c r="BQ32" s="188"/>
      <c r="BR32" s="188"/>
      <c r="BS32" s="192"/>
      <c r="BT32" s="158"/>
    </row>
    <row r="33" ht="17.25" customHeight="1" outlineLevel="1">
      <c r="A33" s="158"/>
      <c r="B33" s="159">
        <v>3.0</v>
      </c>
      <c r="C33" s="233" t="s">
        <v>201</v>
      </c>
      <c r="D33" s="162" t="s">
        <v>192</v>
      </c>
      <c r="E33" s="163">
        <v>46148.0</v>
      </c>
      <c r="F33" s="163">
        <v>46149.0</v>
      </c>
      <c r="G33" s="166">
        <f t="shared" si="2"/>
        <v>1</v>
      </c>
      <c r="H33" s="166" t="s">
        <v>154</v>
      </c>
      <c r="I33" s="168" t="s">
        <v>145</v>
      </c>
      <c r="J33" s="236"/>
      <c r="K33" s="171" t="s">
        <v>200</v>
      </c>
      <c r="L33" s="231"/>
      <c r="M33" s="186"/>
      <c r="N33" s="187"/>
      <c r="O33" s="187"/>
      <c r="P33" s="188"/>
      <c r="Q33" s="176"/>
      <c r="R33" s="176"/>
      <c r="S33" s="176"/>
      <c r="T33" s="176"/>
      <c r="U33" s="176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9"/>
      <c r="AG33" s="189"/>
      <c r="AH33" s="189"/>
      <c r="AI33" s="189"/>
      <c r="AJ33" s="189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90"/>
      <c r="AV33" s="190"/>
      <c r="AW33" s="190"/>
      <c r="AX33" s="190"/>
      <c r="AY33" s="190"/>
      <c r="AZ33" s="188"/>
      <c r="BA33" s="188"/>
      <c r="BB33" s="188"/>
      <c r="BC33" s="188"/>
      <c r="BD33" s="188"/>
      <c r="BE33" s="188"/>
      <c r="BF33" s="188"/>
      <c r="BG33" s="188"/>
      <c r="BH33" s="188"/>
      <c r="BI33" s="188"/>
      <c r="BJ33" s="191"/>
      <c r="BK33" s="191"/>
      <c r="BL33" s="191"/>
      <c r="BM33" s="191"/>
      <c r="BN33" s="191"/>
      <c r="BO33" s="188"/>
      <c r="BP33" s="188"/>
      <c r="BQ33" s="188"/>
      <c r="BR33" s="188"/>
      <c r="BS33" s="192"/>
      <c r="BT33" s="158"/>
    </row>
    <row r="34" ht="17.25" customHeight="1" outlineLevel="1">
      <c r="A34" s="158"/>
      <c r="B34" s="237">
        <v>5.0</v>
      </c>
      <c r="C34" s="238" t="s">
        <v>202</v>
      </c>
      <c r="D34" s="162" t="s">
        <v>179</v>
      </c>
      <c r="E34" s="163">
        <v>46143.0</v>
      </c>
      <c r="F34" s="163">
        <v>46143.0</v>
      </c>
      <c r="G34" s="166">
        <f t="shared" si="2"/>
        <v>0</v>
      </c>
      <c r="H34" s="166" t="s">
        <v>143</v>
      </c>
      <c r="I34" s="168" t="s">
        <v>155</v>
      </c>
      <c r="J34" s="236"/>
      <c r="K34" s="200"/>
      <c r="L34" s="231"/>
      <c r="M34" s="186"/>
      <c r="N34" s="187"/>
      <c r="O34" s="187"/>
      <c r="P34" s="188"/>
      <c r="Q34" s="232"/>
      <c r="R34" s="176"/>
      <c r="S34" s="176"/>
      <c r="T34" s="176"/>
      <c r="U34" s="176"/>
      <c r="V34" s="188"/>
      <c r="W34" s="188"/>
      <c r="X34" s="188"/>
      <c r="Y34" s="188"/>
      <c r="Z34" s="188"/>
      <c r="AA34" s="188"/>
      <c r="AB34" s="188"/>
      <c r="AC34" s="188"/>
      <c r="AD34" s="188"/>
      <c r="AE34" s="177"/>
      <c r="AF34" s="179"/>
      <c r="AG34" s="179"/>
      <c r="AH34" s="179"/>
      <c r="AI34" s="179"/>
      <c r="AJ34" s="179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90"/>
      <c r="AV34" s="190"/>
      <c r="AW34" s="190"/>
      <c r="AX34" s="190"/>
      <c r="AY34" s="190"/>
      <c r="AZ34" s="188"/>
      <c r="BA34" s="188"/>
      <c r="BB34" s="188"/>
      <c r="BC34" s="188"/>
      <c r="BD34" s="188"/>
      <c r="BE34" s="188"/>
      <c r="BF34" s="188"/>
      <c r="BG34" s="188"/>
      <c r="BH34" s="188"/>
      <c r="BI34" s="188"/>
      <c r="BJ34" s="191"/>
      <c r="BK34" s="191"/>
      <c r="BL34" s="191"/>
      <c r="BM34" s="191"/>
      <c r="BN34" s="191"/>
      <c r="BO34" s="188"/>
      <c r="BP34" s="188"/>
      <c r="BQ34" s="188"/>
      <c r="BR34" s="188"/>
      <c r="BS34" s="192"/>
      <c r="BT34" s="158"/>
    </row>
    <row r="35" ht="17.25" customHeight="1" outlineLevel="1">
      <c r="A35" s="158"/>
      <c r="B35" s="159">
        <v>6.0</v>
      </c>
      <c r="C35" s="160"/>
      <c r="D35" s="162" t="s">
        <v>149</v>
      </c>
      <c r="E35" s="163">
        <v>46129.0</v>
      </c>
      <c r="F35" s="163">
        <v>46129.0</v>
      </c>
      <c r="G35" s="165">
        <v>0.0</v>
      </c>
      <c r="H35" s="214"/>
      <c r="I35" s="240"/>
      <c r="J35" s="226"/>
      <c r="K35" s="171" t="s">
        <v>204</v>
      </c>
      <c r="L35" s="231"/>
      <c r="M35" s="186"/>
      <c r="N35" s="187"/>
      <c r="O35" s="187"/>
      <c r="P35" s="188"/>
      <c r="Q35" s="176"/>
      <c r="R35" s="176"/>
      <c r="S35" s="176"/>
      <c r="T35" s="176"/>
      <c r="U35" s="176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9"/>
      <c r="AG35" s="189"/>
      <c r="AH35" s="189"/>
      <c r="AI35" s="189"/>
      <c r="AJ35" s="189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90"/>
      <c r="AV35" s="190"/>
      <c r="AW35" s="190"/>
      <c r="AX35" s="190"/>
      <c r="AY35" s="190"/>
      <c r="AZ35" s="188"/>
      <c r="BA35" s="188"/>
      <c r="BB35" s="188"/>
      <c r="BC35" s="188"/>
      <c r="BD35" s="188"/>
      <c r="BE35" s="188"/>
      <c r="BF35" s="188"/>
      <c r="BG35" s="188"/>
      <c r="BH35" s="188"/>
      <c r="BI35" s="188"/>
      <c r="BJ35" s="191"/>
      <c r="BK35" s="191"/>
      <c r="BL35" s="191"/>
      <c r="BM35" s="191"/>
      <c r="BN35" s="191"/>
      <c r="BO35" s="188"/>
      <c r="BP35" s="188"/>
      <c r="BQ35" s="188"/>
      <c r="BR35" s="188"/>
      <c r="BS35" s="192"/>
      <c r="BT35" s="158"/>
    </row>
    <row r="36" ht="18.0" customHeight="1" outlineLevel="1">
      <c r="A36" s="158"/>
      <c r="B36" s="242">
        <v>7.0</v>
      </c>
      <c r="C36" s="243"/>
      <c r="D36" s="244"/>
      <c r="E36" s="246">
        <v>46129.0</v>
      </c>
      <c r="F36" s="246">
        <v>46129.0</v>
      </c>
      <c r="G36" s="165">
        <v>0.0</v>
      </c>
      <c r="H36" s="214"/>
      <c r="I36" s="240"/>
      <c r="J36" s="226"/>
      <c r="K36" s="171" t="s">
        <v>208</v>
      </c>
      <c r="L36" s="231"/>
      <c r="M36" s="186"/>
      <c r="N36" s="187"/>
      <c r="O36" s="187"/>
      <c r="P36" s="188"/>
      <c r="Q36" s="176"/>
      <c r="R36" s="176"/>
      <c r="S36" s="176"/>
      <c r="T36" s="176"/>
      <c r="U36" s="176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9"/>
      <c r="AG36" s="189"/>
      <c r="AH36" s="189"/>
      <c r="AI36" s="189"/>
      <c r="AJ36" s="189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90"/>
      <c r="AV36" s="190"/>
      <c r="AW36" s="190"/>
      <c r="AX36" s="190"/>
      <c r="AY36" s="190"/>
      <c r="AZ36" s="188"/>
      <c r="BA36" s="188"/>
      <c r="BB36" s="188"/>
      <c r="BC36" s="188"/>
      <c r="BD36" s="188"/>
      <c r="BE36" s="188"/>
      <c r="BF36" s="188"/>
      <c r="BG36" s="188"/>
      <c r="BH36" s="188"/>
      <c r="BI36" s="188"/>
      <c r="BJ36" s="191"/>
      <c r="BK36" s="191"/>
      <c r="BL36" s="191"/>
      <c r="BM36" s="191"/>
      <c r="BN36" s="191"/>
      <c r="BO36" s="188"/>
      <c r="BP36" s="188"/>
      <c r="BQ36" s="188"/>
      <c r="BR36" s="188"/>
      <c r="BS36" s="192"/>
      <c r="BT36" s="158"/>
    </row>
    <row r="37" ht="17.25" customHeight="1" outlineLevel="1">
      <c r="A37" s="158"/>
      <c r="B37" s="247"/>
      <c r="C37" s="244"/>
      <c r="D37" s="247"/>
      <c r="E37" s="163">
        <v>46129.0</v>
      </c>
      <c r="F37" s="163">
        <v>46129.0</v>
      </c>
      <c r="G37" s="166">
        <f t="shared" ref="G37:G40" si="3">DAYS360(E37,F37)</f>
        <v>0</v>
      </c>
      <c r="H37" s="214"/>
      <c r="I37" s="240"/>
      <c r="J37" s="226"/>
      <c r="K37" s="171"/>
      <c r="L37" s="172"/>
      <c r="M37" s="173"/>
      <c r="N37" s="174"/>
      <c r="O37" s="174"/>
      <c r="P37" s="174"/>
      <c r="Q37" s="229"/>
      <c r="R37" s="229"/>
      <c r="S37" s="229"/>
      <c r="T37" s="229"/>
      <c r="U37" s="229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9"/>
      <c r="AG37" s="179"/>
      <c r="AH37" s="179"/>
      <c r="AI37" s="179"/>
      <c r="AJ37" s="179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81"/>
      <c r="AV37" s="181"/>
      <c r="AW37" s="181"/>
      <c r="AX37" s="181"/>
      <c r="AY37" s="181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82"/>
      <c r="BK37" s="182"/>
      <c r="BL37" s="182"/>
      <c r="BM37" s="182"/>
      <c r="BN37" s="182"/>
      <c r="BO37" s="177"/>
      <c r="BP37" s="177"/>
      <c r="BQ37" s="177"/>
      <c r="BR37" s="177"/>
      <c r="BS37" s="183"/>
      <c r="BT37" s="158"/>
    </row>
    <row r="38" ht="17.25" customHeight="1" outlineLevel="1">
      <c r="A38" s="158"/>
      <c r="B38" s="237"/>
      <c r="C38" s="238"/>
      <c r="D38" s="238"/>
      <c r="E38" s="163">
        <v>46129.0</v>
      </c>
      <c r="F38" s="163">
        <v>46129.0</v>
      </c>
      <c r="G38" s="166">
        <f t="shared" si="3"/>
        <v>0</v>
      </c>
      <c r="H38" s="214"/>
      <c r="I38" s="240"/>
      <c r="J38" s="236"/>
      <c r="K38" s="200"/>
      <c r="L38" s="231"/>
      <c r="M38" s="186"/>
      <c r="N38" s="187"/>
      <c r="O38" s="187"/>
      <c r="P38" s="188"/>
      <c r="Q38" s="232"/>
      <c r="R38" s="176"/>
      <c r="S38" s="176"/>
      <c r="T38" s="176"/>
      <c r="U38" s="176"/>
      <c r="V38" s="188"/>
      <c r="W38" s="188"/>
      <c r="X38" s="188"/>
      <c r="Y38" s="188"/>
      <c r="Z38" s="188"/>
      <c r="AA38" s="188"/>
      <c r="AB38" s="188"/>
      <c r="AC38" s="188"/>
      <c r="AD38" s="188"/>
      <c r="AE38" s="177"/>
      <c r="AF38" s="179"/>
      <c r="AG38" s="179"/>
      <c r="AH38" s="179"/>
      <c r="AI38" s="179"/>
      <c r="AJ38" s="179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90"/>
      <c r="AV38" s="190"/>
      <c r="AW38" s="190"/>
      <c r="AX38" s="190"/>
      <c r="AY38" s="190"/>
      <c r="AZ38" s="188"/>
      <c r="BA38" s="188"/>
      <c r="BB38" s="188"/>
      <c r="BC38" s="188"/>
      <c r="BD38" s="188"/>
      <c r="BE38" s="188"/>
      <c r="BF38" s="188"/>
      <c r="BG38" s="188"/>
      <c r="BH38" s="188"/>
      <c r="BI38" s="188"/>
      <c r="BJ38" s="191"/>
      <c r="BK38" s="191"/>
      <c r="BL38" s="191"/>
      <c r="BM38" s="191"/>
      <c r="BN38" s="191"/>
      <c r="BO38" s="188"/>
      <c r="BP38" s="188"/>
      <c r="BQ38" s="188"/>
      <c r="BR38" s="188"/>
      <c r="BS38" s="192"/>
      <c r="BT38" s="158"/>
    </row>
    <row r="39" ht="17.25" customHeight="1" outlineLevel="1">
      <c r="A39" s="158"/>
      <c r="B39" s="159"/>
      <c r="C39" s="160"/>
      <c r="D39" s="160"/>
      <c r="E39" s="163">
        <v>46129.0</v>
      </c>
      <c r="F39" s="163">
        <v>46129.0</v>
      </c>
      <c r="G39" s="166">
        <f t="shared" si="3"/>
        <v>0</v>
      </c>
      <c r="H39" s="214"/>
      <c r="I39" s="240"/>
      <c r="J39" s="226"/>
      <c r="K39" s="171"/>
      <c r="L39" s="231"/>
      <c r="M39" s="186"/>
      <c r="N39" s="187"/>
      <c r="O39" s="187"/>
      <c r="P39" s="188"/>
      <c r="Q39" s="176"/>
      <c r="R39" s="176"/>
      <c r="S39" s="176"/>
      <c r="T39" s="176"/>
      <c r="U39" s="176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9"/>
      <c r="AG39" s="189"/>
      <c r="AH39" s="189"/>
      <c r="AI39" s="189"/>
      <c r="AJ39" s="189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90"/>
      <c r="AV39" s="190"/>
      <c r="AW39" s="190"/>
      <c r="AX39" s="190"/>
      <c r="AY39" s="190"/>
      <c r="AZ39" s="188"/>
      <c r="BA39" s="188"/>
      <c r="BB39" s="188"/>
      <c r="BC39" s="188"/>
      <c r="BD39" s="188"/>
      <c r="BE39" s="188"/>
      <c r="BF39" s="188"/>
      <c r="BG39" s="188"/>
      <c r="BH39" s="188"/>
      <c r="BI39" s="188"/>
      <c r="BJ39" s="191"/>
      <c r="BK39" s="191"/>
      <c r="BL39" s="191"/>
      <c r="BM39" s="191"/>
      <c r="BN39" s="191"/>
      <c r="BO39" s="188"/>
      <c r="BP39" s="188"/>
      <c r="BQ39" s="188"/>
      <c r="BR39" s="188"/>
      <c r="BS39" s="192"/>
      <c r="BT39" s="158"/>
    </row>
    <row r="40" ht="18.0" customHeight="1" outlineLevel="1">
      <c r="A40" s="158"/>
      <c r="B40" s="159"/>
      <c r="D40" s="160"/>
      <c r="E40" s="163">
        <v>46129.0</v>
      </c>
      <c r="F40" s="163">
        <v>46129.0</v>
      </c>
      <c r="G40" s="166">
        <f t="shared" si="3"/>
        <v>0</v>
      </c>
      <c r="H40" s="214"/>
      <c r="I40" s="240"/>
      <c r="J40" s="226"/>
      <c r="K40" s="171"/>
      <c r="L40" s="231"/>
      <c r="M40" s="186"/>
      <c r="N40" s="187"/>
      <c r="O40" s="187"/>
      <c r="P40" s="188"/>
      <c r="Q40" s="176"/>
      <c r="R40" s="176"/>
      <c r="S40" s="176"/>
      <c r="T40" s="176"/>
      <c r="U40" s="176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9"/>
      <c r="AG40" s="189"/>
      <c r="AH40" s="189"/>
      <c r="AI40" s="189"/>
      <c r="AJ40" s="189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90"/>
      <c r="AV40" s="190"/>
      <c r="AW40" s="190"/>
      <c r="AX40" s="190"/>
      <c r="AY40" s="190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91"/>
      <c r="BK40" s="191"/>
      <c r="BL40" s="191"/>
      <c r="BM40" s="191"/>
      <c r="BN40" s="191"/>
      <c r="BO40" s="188"/>
      <c r="BP40" s="188"/>
      <c r="BQ40" s="188"/>
      <c r="BR40" s="188"/>
      <c r="BS40" s="192"/>
      <c r="BT40" s="158"/>
    </row>
    <row r="41" ht="21.0" customHeight="1">
      <c r="A41" s="81"/>
      <c r="B41" s="146">
        <v>4.0</v>
      </c>
      <c r="C41" s="147" t="s">
        <v>220</v>
      </c>
      <c r="D41" s="149"/>
      <c r="E41" s="224"/>
      <c r="F41" s="224"/>
      <c r="G41" s="149"/>
      <c r="H41" s="150"/>
      <c r="I41" s="225"/>
      <c r="J41" s="256" t="s">
        <v>221</v>
      </c>
      <c r="K41" s="150"/>
      <c r="L41" s="151"/>
      <c r="M41" s="152"/>
      <c r="N41" s="154"/>
      <c r="O41" s="154"/>
      <c r="P41" s="155"/>
      <c r="Q41" s="151"/>
      <c r="R41" s="155"/>
      <c r="S41" s="151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81"/>
    </row>
    <row r="42" ht="17.25" customHeight="1" outlineLevel="1">
      <c r="A42" s="158"/>
      <c r="B42" s="159">
        <v>1.0</v>
      </c>
      <c r="C42" s="160" t="s">
        <v>223</v>
      </c>
      <c r="D42" s="162" t="s">
        <v>171</v>
      </c>
      <c r="E42" s="163">
        <v>46148.0</v>
      </c>
      <c r="F42" s="163">
        <v>46148.0</v>
      </c>
      <c r="G42" s="166">
        <f t="shared" ref="G42:G46" si="4">DAYS360(E42,F42)</f>
        <v>0</v>
      </c>
      <c r="H42" s="166" t="s">
        <v>143</v>
      </c>
      <c r="I42" s="168" t="s">
        <v>155</v>
      </c>
      <c r="J42" s="226"/>
      <c r="K42" s="200"/>
      <c r="L42" s="231"/>
      <c r="M42" s="186"/>
      <c r="N42" s="187"/>
      <c r="O42" s="187"/>
      <c r="P42" s="188"/>
      <c r="Q42" s="176"/>
      <c r="R42" s="176"/>
      <c r="S42" s="176"/>
      <c r="T42" s="176"/>
      <c r="U42" s="176"/>
      <c r="V42" s="174"/>
      <c r="W42" s="174"/>
      <c r="X42" s="174"/>
      <c r="Y42" s="174"/>
      <c r="Z42" s="188"/>
      <c r="AA42" s="188"/>
      <c r="AB42" s="188"/>
      <c r="AC42" s="188"/>
      <c r="AD42" s="188"/>
      <c r="AE42" s="188"/>
      <c r="AF42" s="189"/>
      <c r="AG42" s="189"/>
      <c r="AH42" s="189"/>
      <c r="AI42" s="189"/>
      <c r="AJ42" s="189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90"/>
      <c r="AV42" s="190"/>
      <c r="AW42" s="190"/>
      <c r="AX42" s="190"/>
      <c r="AY42" s="190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91"/>
      <c r="BK42" s="191"/>
      <c r="BL42" s="191"/>
      <c r="BM42" s="191"/>
      <c r="BN42" s="191"/>
      <c r="BO42" s="188"/>
      <c r="BP42" s="188"/>
      <c r="BQ42" s="188"/>
      <c r="BR42" s="188"/>
      <c r="BS42" s="192"/>
      <c r="BT42" s="158"/>
    </row>
    <row r="43" ht="17.25" customHeight="1" outlineLevel="1">
      <c r="A43" s="158"/>
      <c r="B43" s="159">
        <v>2.0</v>
      </c>
      <c r="C43" s="160" t="s">
        <v>224</v>
      </c>
      <c r="D43" s="162" t="s">
        <v>225</v>
      </c>
      <c r="E43" s="163">
        <v>46148.0</v>
      </c>
      <c r="F43" s="163">
        <v>46148.0</v>
      </c>
      <c r="G43" s="166">
        <f t="shared" si="4"/>
        <v>0</v>
      </c>
      <c r="H43" s="166" t="s">
        <v>143</v>
      </c>
      <c r="I43" s="168" t="s">
        <v>145</v>
      </c>
      <c r="J43" s="226"/>
      <c r="K43" s="171"/>
      <c r="L43" s="231"/>
      <c r="M43" s="186"/>
      <c r="N43" s="187"/>
      <c r="O43" s="187"/>
      <c r="P43" s="188"/>
      <c r="Q43" s="176"/>
      <c r="R43" s="176"/>
      <c r="S43" s="176"/>
      <c r="T43" s="176"/>
      <c r="U43" s="176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9"/>
      <c r="AG43" s="189"/>
      <c r="AH43" s="189"/>
      <c r="AI43" s="189"/>
      <c r="AJ43" s="189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90"/>
      <c r="AV43" s="190"/>
      <c r="AW43" s="190"/>
      <c r="AX43" s="190"/>
      <c r="AY43" s="190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91"/>
      <c r="BK43" s="191"/>
      <c r="BL43" s="191"/>
      <c r="BM43" s="191"/>
      <c r="BN43" s="191"/>
      <c r="BO43" s="188"/>
      <c r="BP43" s="188"/>
      <c r="BQ43" s="188"/>
      <c r="BR43" s="188"/>
      <c r="BS43" s="192"/>
      <c r="BT43" s="158"/>
    </row>
    <row r="44" outlineLevel="1">
      <c r="A44" s="158"/>
      <c r="B44" s="159">
        <v>3.0</v>
      </c>
      <c r="C44" s="160" t="s">
        <v>226</v>
      </c>
      <c r="D44" s="162" t="s">
        <v>171</v>
      </c>
      <c r="E44" s="163">
        <v>46148.0</v>
      </c>
      <c r="F44" s="163">
        <v>46149.0</v>
      </c>
      <c r="G44" s="166">
        <f t="shared" si="4"/>
        <v>1</v>
      </c>
      <c r="H44" s="166" t="s">
        <v>143</v>
      </c>
      <c r="I44" s="168" t="s">
        <v>145</v>
      </c>
      <c r="J44" s="236"/>
      <c r="K44" s="171"/>
      <c r="L44" s="231"/>
      <c r="M44" s="186"/>
      <c r="N44" s="187"/>
      <c r="O44" s="187"/>
      <c r="P44" s="188"/>
      <c r="Q44" s="176"/>
      <c r="R44" s="176"/>
      <c r="S44" s="176"/>
      <c r="T44" s="176"/>
      <c r="U44" s="176"/>
      <c r="V44" s="174"/>
      <c r="W44" s="174"/>
      <c r="X44" s="174"/>
      <c r="Y44" s="174"/>
      <c r="Z44" s="188"/>
      <c r="AA44" s="188"/>
      <c r="AB44" s="188"/>
      <c r="AC44" s="188"/>
      <c r="AD44" s="188"/>
      <c r="AE44" s="188"/>
      <c r="AF44" s="189"/>
      <c r="AG44" s="189"/>
      <c r="AH44" s="189"/>
      <c r="AI44" s="189"/>
      <c r="AJ44" s="189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90"/>
      <c r="AV44" s="190"/>
      <c r="AW44" s="190"/>
      <c r="AX44" s="190"/>
      <c r="AY44" s="190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91"/>
      <c r="BK44" s="191"/>
      <c r="BL44" s="191"/>
      <c r="BM44" s="191"/>
      <c r="BN44" s="191"/>
      <c r="BO44" s="188"/>
      <c r="BP44" s="188"/>
      <c r="BQ44" s="188"/>
      <c r="BR44" s="188"/>
      <c r="BS44" s="192"/>
      <c r="BT44" s="158"/>
    </row>
    <row r="45">
      <c r="B45" s="159">
        <v>4.0</v>
      </c>
      <c r="C45" s="265" t="s">
        <v>228</v>
      </c>
      <c r="D45" s="162" t="s">
        <v>149</v>
      </c>
      <c r="E45" s="163">
        <v>46149.0</v>
      </c>
      <c r="F45" s="163">
        <v>46149.0</v>
      </c>
      <c r="G45" s="166">
        <f t="shared" si="4"/>
        <v>0</v>
      </c>
      <c r="H45" s="166" t="s">
        <v>154</v>
      </c>
      <c r="I45" s="168" t="s">
        <v>155</v>
      </c>
    </row>
    <row r="46" ht="17.25" customHeight="1" outlineLevel="1">
      <c r="A46" s="158"/>
      <c r="B46" s="269">
        <v>6.0</v>
      </c>
      <c r="C46" s="213"/>
      <c r="D46" s="162" t="s">
        <v>157</v>
      </c>
      <c r="E46" s="270"/>
      <c r="F46" s="270"/>
      <c r="G46" s="166">
        <f t="shared" si="4"/>
        <v>0</v>
      </c>
      <c r="H46" s="214"/>
      <c r="I46" s="240"/>
      <c r="J46" s="226"/>
      <c r="K46" s="171"/>
      <c r="L46" s="231"/>
      <c r="M46" s="186"/>
      <c r="N46" s="188"/>
      <c r="O46" s="188"/>
      <c r="P46" s="188"/>
      <c r="Q46" s="176"/>
      <c r="R46" s="176"/>
      <c r="S46" s="176"/>
      <c r="T46" s="176"/>
      <c r="U46" s="176"/>
      <c r="V46" s="174"/>
      <c r="W46" s="174"/>
      <c r="X46" s="174"/>
      <c r="Y46" s="174"/>
      <c r="Z46" s="188"/>
      <c r="AA46" s="188"/>
      <c r="AB46" s="188"/>
      <c r="AC46" s="188"/>
      <c r="AD46" s="188"/>
      <c r="AE46" s="188"/>
      <c r="AF46" s="189"/>
      <c r="AG46" s="189"/>
      <c r="AH46" s="189"/>
      <c r="AI46" s="189"/>
      <c r="AJ46" s="189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90"/>
      <c r="AV46" s="190"/>
      <c r="AW46" s="190"/>
      <c r="AX46" s="190"/>
      <c r="AY46" s="190"/>
      <c r="AZ46" s="188"/>
      <c r="BA46" s="188"/>
      <c r="BB46" s="188"/>
      <c r="BC46" s="188"/>
      <c r="BD46" s="188"/>
      <c r="BE46" s="188"/>
      <c r="BF46" s="188"/>
      <c r="BG46" s="188"/>
      <c r="BH46" s="188"/>
      <c r="BI46" s="188"/>
      <c r="BJ46" s="191"/>
      <c r="BK46" s="191"/>
      <c r="BL46" s="191"/>
      <c r="BM46" s="191"/>
      <c r="BN46" s="191"/>
      <c r="BO46" s="188"/>
      <c r="BP46" s="188"/>
      <c r="BQ46" s="188"/>
      <c r="BR46" s="188"/>
      <c r="BS46" s="192"/>
      <c r="BT46" s="158"/>
    </row>
    <row r="47" ht="21.0" customHeight="1">
      <c r="A47" s="81"/>
      <c r="B47" s="146">
        <v>5.0</v>
      </c>
      <c r="C47" s="147" t="s">
        <v>232</v>
      </c>
      <c r="D47" s="149"/>
      <c r="E47" s="224"/>
      <c r="F47" s="224"/>
      <c r="G47" s="149"/>
      <c r="H47" s="149"/>
      <c r="I47" s="225"/>
      <c r="J47" s="150"/>
      <c r="K47" s="150"/>
      <c r="L47" s="151"/>
      <c r="M47" s="152"/>
      <c r="N47" s="154"/>
      <c r="O47" s="154"/>
      <c r="P47" s="155"/>
      <c r="Q47" s="151"/>
      <c r="R47" s="155"/>
      <c r="S47" s="151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81"/>
    </row>
    <row r="48" ht="17.25" customHeight="1" outlineLevel="1">
      <c r="A48" s="158"/>
      <c r="B48" s="159">
        <v>1.0</v>
      </c>
      <c r="C48" s="160" t="s">
        <v>234</v>
      </c>
      <c r="D48" s="162"/>
      <c r="E48" s="163">
        <v>46129.0</v>
      </c>
      <c r="F48" s="163">
        <v>46129.0</v>
      </c>
      <c r="G48" s="165">
        <v>0.0</v>
      </c>
      <c r="H48" s="214"/>
      <c r="I48" s="240"/>
      <c r="J48" s="226"/>
      <c r="K48" s="171"/>
      <c r="L48" s="228"/>
      <c r="M48" s="173"/>
      <c r="N48" s="174"/>
      <c r="O48" s="174"/>
      <c r="P48" s="174"/>
      <c r="Q48" s="229"/>
      <c r="R48" s="229"/>
      <c r="S48" s="229"/>
      <c r="T48" s="229"/>
      <c r="U48" s="229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9"/>
      <c r="AG48" s="179"/>
      <c r="AH48" s="179"/>
      <c r="AI48" s="179"/>
      <c r="AJ48" s="179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81"/>
      <c r="AV48" s="181"/>
      <c r="AW48" s="181"/>
      <c r="AX48" s="181"/>
      <c r="AY48" s="181"/>
      <c r="AZ48" s="177"/>
      <c r="BA48" s="177"/>
      <c r="BB48" s="177"/>
      <c r="BC48" s="177"/>
      <c r="BD48" s="177"/>
      <c r="BE48" s="177"/>
      <c r="BF48" s="177"/>
      <c r="BG48" s="177"/>
      <c r="BH48" s="177"/>
      <c r="BI48" s="177"/>
      <c r="BJ48" s="182"/>
      <c r="BK48" s="182"/>
      <c r="BL48" s="182"/>
      <c r="BM48" s="182"/>
      <c r="BN48" s="182"/>
      <c r="BO48" s="177"/>
      <c r="BP48" s="177"/>
      <c r="BQ48" s="177"/>
      <c r="BR48" s="177"/>
      <c r="BS48" s="183"/>
      <c r="BT48" s="158"/>
    </row>
    <row r="49" ht="17.25" customHeight="1" outlineLevel="1">
      <c r="A49" s="158"/>
      <c r="B49" s="159">
        <v>2.0</v>
      </c>
      <c r="C49" s="160" t="s">
        <v>236</v>
      </c>
      <c r="D49" s="162"/>
      <c r="E49" s="163">
        <v>46129.0</v>
      </c>
      <c r="F49" s="163">
        <v>46129.0</v>
      </c>
      <c r="G49" s="165">
        <v>0.0</v>
      </c>
      <c r="H49" s="214"/>
      <c r="I49" s="240"/>
      <c r="J49" s="226"/>
      <c r="K49" s="171"/>
      <c r="L49" s="231"/>
      <c r="M49" s="186"/>
      <c r="N49" s="187"/>
      <c r="O49" s="187"/>
      <c r="P49" s="188"/>
      <c r="Q49" s="229"/>
      <c r="R49" s="229"/>
      <c r="S49" s="229"/>
      <c r="T49" s="229"/>
      <c r="U49" s="229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9"/>
      <c r="AG49" s="189"/>
      <c r="AH49" s="189"/>
      <c r="AI49" s="189"/>
      <c r="AJ49" s="189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90"/>
      <c r="AV49" s="190"/>
      <c r="AW49" s="190"/>
      <c r="AX49" s="190"/>
      <c r="AY49" s="190"/>
      <c r="AZ49" s="188"/>
      <c r="BA49" s="188"/>
      <c r="BB49" s="188"/>
      <c r="BC49" s="188"/>
      <c r="BD49" s="188"/>
      <c r="BE49" s="188"/>
      <c r="BF49" s="188"/>
      <c r="BG49" s="188"/>
      <c r="BH49" s="188"/>
      <c r="BI49" s="188"/>
      <c r="BJ49" s="191"/>
      <c r="BK49" s="191"/>
      <c r="BL49" s="191"/>
      <c r="BM49" s="191"/>
      <c r="BN49" s="191"/>
      <c r="BO49" s="188"/>
      <c r="BP49" s="188"/>
      <c r="BQ49" s="188"/>
      <c r="BR49" s="188"/>
      <c r="BS49" s="192"/>
      <c r="BT49" s="158"/>
    </row>
    <row r="50" ht="17.25" customHeight="1" outlineLevel="1">
      <c r="A50" s="158"/>
      <c r="B50" s="159">
        <v>3.0</v>
      </c>
      <c r="C50" s="160" t="s">
        <v>238</v>
      </c>
      <c r="D50" s="162"/>
      <c r="E50" s="163">
        <v>46129.0</v>
      </c>
      <c r="F50" s="163">
        <v>46129.0</v>
      </c>
      <c r="G50" s="165">
        <v>0.0</v>
      </c>
      <c r="H50" s="214"/>
      <c r="I50" s="240"/>
      <c r="J50" s="226"/>
      <c r="K50" s="171"/>
      <c r="L50" s="231"/>
      <c r="M50" s="186"/>
      <c r="N50" s="187"/>
      <c r="O50" s="187"/>
      <c r="P50" s="188"/>
      <c r="Q50" s="229"/>
      <c r="R50" s="229"/>
      <c r="S50" s="229"/>
      <c r="T50" s="229"/>
      <c r="U50" s="229"/>
      <c r="V50" s="174"/>
      <c r="W50" s="174"/>
      <c r="X50" s="174"/>
      <c r="Y50" s="174"/>
      <c r="Z50" s="188"/>
      <c r="AA50" s="188"/>
      <c r="AB50" s="188"/>
      <c r="AC50" s="188"/>
      <c r="AD50" s="188"/>
      <c r="AE50" s="188"/>
      <c r="AF50" s="189"/>
      <c r="AG50" s="189"/>
      <c r="AH50" s="189"/>
      <c r="AI50" s="189"/>
      <c r="AJ50" s="189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90"/>
      <c r="AV50" s="190"/>
      <c r="AW50" s="190"/>
      <c r="AX50" s="190"/>
      <c r="AY50" s="190"/>
      <c r="AZ50" s="188"/>
      <c r="BA50" s="188"/>
      <c r="BB50" s="188"/>
      <c r="BC50" s="188"/>
      <c r="BD50" s="188"/>
      <c r="BE50" s="188"/>
      <c r="BF50" s="188"/>
      <c r="BG50" s="188"/>
      <c r="BH50" s="188"/>
      <c r="BI50" s="188"/>
      <c r="BJ50" s="191"/>
      <c r="BK50" s="191"/>
      <c r="BL50" s="191"/>
      <c r="BM50" s="191"/>
      <c r="BN50" s="191"/>
      <c r="BO50" s="188"/>
      <c r="BP50" s="188"/>
      <c r="BQ50" s="188"/>
      <c r="BR50" s="188"/>
      <c r="BS50" s="192"/>
      <c r="BT50" s="158"/>
    </row>
    <row r="51" ht="17.25" customHeight="1" outlineLevel="1">
      <c r="A51" s="158"/>
      <c r="B51" s="159">
        <v>4.0</v>
      </c>
      <c r="C51" s="160" t="s">
        <v>239</v>
      </c>
      <c r="D51" s="162"/>
      <c r="E51" s="163">
        <v>46129.0</v>
      </c>
      <c r="F51" s="163">
        <v>46129.0</v>
      </c>
      <c r="G51" s="165">
        <v>0.0</v>
      </c>
      <c r="H51" s="214"/>
      <c r="I51" s="240"/>
      <c r="J51" s="226"/>
      <c r="K51" s="200"/>
      <c r="L51" s="231"/>
      <c r="M51" s="186"/>
      <c r="N51" s="187"/>
      <c r="O51" s="187"/>
      <c r="P51" s="188"/>
      <c r="Q51" s="229"/>
      <c r="R51" s="229"/>
      <c r="S51" s="229"/>
      <c r="T51" s="229"/>
      <c r="U51" s="229"/>
      <c r="V51" s="174"/>
      <c r="W51" s="174"/>
      <c r="X51" s="174"/>
      <c r="Y51" s="174"/>
      <c r="Z51" s="188"/>
      <c r="AA51" s="188"/>
      <c r="AB51" s="188"/>
      <c r="AC51" s="188"/>
      <c r="AD51" s="188"/>
      <c r="AE51" s="188"/>
      <c r="AF51" s="189"/>
      <c r="AG51" s="189"/>
      <c r="AH51" s="189"/>
      <c r="AI51" s="189"/>
      <c r="AJ51" s="189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90"/>
      <c r="AV51" s="190"/>
      <c r="AW51" s="190"/>
      <c r="AX51" s="190"/>
      <c r="AY51" s="190"/>
      <c r="AZ51" s="188"/>
      <c r="BA51" s="188"/>
      <c r="BB51" s="188"/>
      <c r="BC51" s="188"/>
      <c r="BD51" s="188"/>
      <c r="BE51" s="188"/>
      <c r="BF51" s="188"/>
      <c r="BG51" s="188"/>
      <c r="BH51" s="188"/>
      <c r="BI51" s="188"/>
      <c r="BJ51" s="191"/>
      <c r="BK51" s="191"/>
      <c r="BL51" s="191"/>
      <c r="BM51" s="191"/>
      <c r="BN51" s="191"/>
      <c r="BO51" s="188"/>
      <c r="BP51" s="188"/>
      <c r="BQ51" s="188"/>
      <c r="BR51" s="188"/>
      <c r="BS51" s="192"/>
      <c r="BT51" s="158"/>
    </row>
    <row r="52" ht="17.25" customHeight="1" outlineLevel="1">
      <c r="A52" s="158"/>
      <c r="B52" s="159">
        <v>5.0</v>
      </c>
      <c r="C52" s="160" t="s">
        <v>240</v>
      </c>
      <c r="D52" s="162" t="s">
        <v>241</v>
      </c>
      <c r="E52" s="163">
        <v>46129.0</v>
      </c>
      <c r="F52" s="163">
        <v>46129.0</v>
      </c>
      <c r="G52" s="165">
        <v>0.0</v>
      </c>
      <c r="H52" s="214"/>
      <c r="I52" s="240"/>
      <c r="J52" s="226"/>
      <c r="K52" s="200"/>
      <c r="L52" s="231"/>
      <c r="M52" s="186"/>
      <c r="N52" s="187"/>
      <c r="O52" s="187"/>
      <c r="P52" s="188"/>
      <c r="Q52" s="229"/>
      <c r="R52" s="229"/>
      <c r="S52" s="229"/>
      <c r="T52" s="229"/>
      <c r="U52" s="229"/>
      <c r="V52" s="174"/>
      <c r="W52" s="174"/>
      <c r="X52" s="174"/>
      <c r="Y52" s="174"/>
      <c r="Z52" s="188"/>
      <c r="AA52" s="188"/>
      <c r="AB52" s="188"/>
      <c r="AC52" s="188"/>
      <c r="AD52" s="188"/>
      <c r="AE52" s="188"/>
      <c r="AF52" s="189"/>
      <c r="AG52" s="189"/>
      <c r="AH52" s="189"/>
      <c r="AI52" s="189"/>
      <c r="AJ52" s="189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90"/>
      <c r="AV52" s="190"/>
      <c r="AW52" s="190"/>
      <c r="AX52" s="190"/>
      <c r="AY52" s="190"/>
      <c r="AZ52" s="188"/>
      <c r="BA52" s="188"/>
      <c r="BB52" s="188"/>
      <c r="BC52" s="188"/>
      <c r="BD52" s="188"/>
      <c r="BE52" s="188"/>
      <c r="BF52" s="188"/>
      <c r="BG52" s="188"/>
      <c r="BH52" s="188"/>
      <c r="BI52" s="188"/>
      <c r="BJ52" s="191"/>
      <c r="BK52" s="191"/>
      <c r="BL52" s="191"/>
      <c r="BM52" s="191"/>
      <c r="BN52" s="191"/>
      <c r="BO52" s="188"/>
      <c r="BP52" s="188"/>
      <c r="BQ52" s="188"/>
      <c r="BR52" s="188"/>
      <c r="BS52" s="192"/>
      <c r="BT52" s="158"/>
    </row>
    <row r="53" ht="21.0" customHeight="1">
      <c r="A53" s="81"/>
      <c r="B53" s="146">
        <v>6.0</v>
      </c>
      <c r="C53" s="147" t="s">
        <v>243</v>
      </c>
      <c r="D53" s="149"/>
      <c r="E53" s="224"/>
      <c r="F53" s="224"/>
      <c r="G53" s="149"/>
      <c r="H53" s="149"/>
      <c r="I53" s="225"/>
      <c r="J53" s="150"/>
      <c r="K53" s="150"/>
      <c r="L53" s="151"/>
      <c r="M53" s="152"/>
      <c r="N53" s="154"/>
      <c r="O53" s="154"/>
      <c r="P53" s="155"/>
      <c r="Q53" s="151"/>
      <c r="R53" s="155"/>
      <c r="S53" s="151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81"/>
    </row>
    <row r="54" ht="17.25" customHeight="1" outlineLevel="1">
      <c r="A54" s="158"/>
      <c r="B54" s="159">
        <v>1.0</v>
      </c>
      <c r="C54" s="160" t="s">
        <v>244</v>
      </c>
      <c r="D54" s="162" t="s">
        <v>82</v>
      </c>
      <c r="E54" s="163">
        <v>46144.0</v>
      </c>
      <c r="F54" s="163">
        <v>46144.0</v>
      </c>
      <c r="G54" s="165">
        <v>0.0</v>
      </c>
      <c r="H54" s="166" t="s">
        <v>143</v>
      </c>
      <c r="I54" s="168" t="s">
        <v>155</v>
      </c>
      <c r="J54" s="184" t="s">
        <v>246</v>
      </c>
      <c r="K54" s="171"/>
      <c r="L54" s="228"/>
      <c r="M54" s="173"/>
      <c r="N54" s="174"/>
      <c r="O54" s="174"/>
      <c r="P54" s="174"/>
      <c r="Q54" s="229"/>
      <c r="R54" s="229"/>
      <c r="S54" s="229"/>
      <c r="T54" s="229"/>
      <c r="U54" s="229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9"/>
      <c r="AG54" s="179"/>
      <c r="AH54" s="179"/>
      <c r="AI54" s="179"/>
      <c r="AJ54" s="179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  <c r="AU54" s="181"/>
      <c r="AV54" s="181"/>
      <c r="AW54" s="181"/>
      <c r="AX54" s="181"/>
      <c r="AY54" s="181"/>
      <c r="AZ54" s="177"/>
      <c r="BA54" s="177"/>
      <c r="BB54" s="177"/>
      <c r="BC54" s="177"/>
      <c r="BD54" s="177"/>
      <c r="BE54" s="177"/>
      <c r="BF54" s="177"/>
      <c r="BG54" s="177"/>
      <c r="BH54" s="177"/>
      <c r="BI54" s="177"/>
      <c r="BJ54" s="182"/>
      <c r="BK54" s="182"/>
      <c r="BL54" s="182"/>
      <c r="BM54" s="182"/>
      <c r="BN54" s="182"/>
      <c r="BO54" s="177"/>
      <c r="BP54" s="177"/>
      <c r="BQ54" s="177"/>
      <c r="BR54" s="177"/>
      <c r="BS54" s="183"/>
      <c r="BT54" s="158"/>
    </row>
    <row r="55" ht="17.25" customHeight="1" outlineLevel="1">
      <c r="A55" s="158"/>
      <c r="B55" s="159">
        <v>2.0</v>
      </c>
      <c r="C55" s="160" t="s">
        <v>247</v>
      </c>
      <c r="D55" s="162" t="s">
        <v>248</v>
      </c>
      <c r="E55" s="163">
        <v>46151.0</v>
      </c>
      <c r="F55" s="163">
        <v>46151.0</v>
      </c>
      <c r="G55" s="165">
        <v>0.0</v>
      </c>
      <c r="H55" s="166" t="s">
        <v>143</v>
      </c>
      <c r="I55" s="168" t="s">
        <v>155</v>
      </c>
      <c r="J55" s="184" t="s">
        <v>249</v>
      </c>
      <c r="K55" s="171"/>
      <c r="L55" s="231"/>
      <c r="M55" s="186"/>
      <c r="N55" s="187"/>
      <c r="O55" s="187"/>
      <c r="P55" s="188"/>
      <c r="Q55" s="229"/>
      <c r="R55" s="229"/>
      <c r="S55" s="229"/>
      <c r="T55" s="229"/>
      <c r="U55" s="229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9"/>
      <c r="AG55" s="189"/>
      <c r="AH55" s="189"/>
      <c r="AI55" s="189"/>
      <c r="AJ55" s="189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90"/>
      <c r="AV55" s="190"/>
      <c r="AW55" s="190"/>
      <c r="AX55" s="190"/>
      <c r="AY55" s="190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91"/>
      <c r="BK55" s="191"/>
      <c r="BL55" s="191"/>
      <c r="BM55" s="191"/>
      <c r="BN55" s="191"/>
      <c r="BO55" s="188"/>
      <c r="BP55" s="188"/>
      <c r="BQ55" s="188"/>
      <c r="BR55" s="188"/>
      <c r="BS55" s="192"/>
      <c r="BT55" s="158"/>
    </row>
    <row r="56" ht="17.25" customHeight="1" outlineLevel="1">
      <c r="A56" s="158"/>
      <c r="B56" s="159">
        <v>3.0</v>
      </c>
      <c r="C56" s="160" t="s">
        <v>252</v>
      </c>
      <c r="D56" s="162" t="s">
        <v>157</v>
      </c>
      <c r="E56" s="163">
        <v>46129.0</v>
      </c>
      <c r="F56" s="163">
        <v>46129.0</v>
      </c>
      <c r="G56" s="165">
        <v>0.0</v>
      </c>
      <c r="H56" s="214"/>
      <c r="I56" s="240"/>
      <c r="J56" s="226"/>
      <c r="K56" s="171"/>
      <c r="L56" s="231"/>
      <c r="M56" s="186"/>
      <c r="N56" s="187"/>
      <c r="O56" s="187"/>
      <c r="P56" s="188"/>
      <c r="Q56" s="229"/>
      <c r="R56" s="229"/>
      <c r="S56" s="229"/>
      <c r="T56" s="229"/>
      <c r="U56" s="229"/>
      <c r="V56" s="174"/>
      <c r="W56" s="174"/>
      <c r="X56" s="174"/>
      <c r="Y56" s="174"/>
      <c r="Z56" s="188"/>
      <c r="AA56" s="188"/>
      <c r="AB56" s="188"/>
      <c r="AC56" s="188"/>
      <c r="AD56" s="188"/>
      <c r="AE56" s="188"/>
      <c r="AF56" s="189"/>
      <c r="AG56" s="189"/>
      <c r="AH56" s="189"/>
      <c r="AI56" s="189"/>
      <c r="AJ56" s="189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90"/>
      <c r="AV56" s="190"/>
      <c r="AW56" s="190"/>
      <c r="AX56" s="190"/>
      <c r="AY56" s="190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91"/>
      <c r="BK56" s="191"/>
      <c r="BL56" s="191"/>
      <c r="BM56" s="191"/>
      <c r="BN56" s="191"/>
      <c r="BO56" s="188"/>
      <c r="BP56" s="188"/>
      <c r="BQ56" s="188"/>
      <c r="BR56" s="188"/>
      <c r="BS56" s="192"/>
      <c r="BT56" s="158"/>
    </row>
    <row r="57" ht="17.25" customHeight="1" outlineLevel="1">
      <c r="A57" s="158"/>
      <c r="B57" s="159">
        <v>4.0</v>
      </c>
      <c r="C57" s="160" t="s">
        <v>252</v>
      </c>
      <c r="D57" s="162" t="s">
        <v>157</v>
      </c>
      <c r="E57" s="163">
        <v>46129.0</v>
      </c>
      <c r="F57" s="163">
        <v>46129.0</v>
      </c>
      <c r="G57" s="165">
        <v>0.0</v>
      </c>
      <c r="H57" s="214"/>
      <c r="I57" s="240"/>
      <c r="J57" s="287"/>
      <c r="K57" s="200"/>
      <c r="L57" s="231"/>
      <c r="M57" s="186"/>
      <c r="N57" s="187"/>
      <c r="O57" s="187"/>
      <c r="P57" s="188"/>
      <c r="Q57" s="229"/>
      <c r="R57" s="229"/>
      <c r="S57" s="229"/>
      <c r="T57" s="229"/>
      <c r="U57" s="229"/>
      <c r="V57" s="174"/>
      <c r="W57" s="174"/>
      <c r="X57" s="174"/>
      <c r="Y57" s="174"/>
      <c r="Z57" s="188"/>
      <c r="AA57" s="188"/>
      <c r="AB57" s="188"/>
      <c r="AC57" s="188"/>
      <c r="AD57" s="188"/>
      <c r="AE57" s="188"/>
      <c r="AF57" s="189"/>
      <c r="AG57" s="189"/>
      <c r="AH57" s="189"/>
      <c r="AI57" s="189"/>
      <c r="AJ57" s="189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90"/>
      <c r="AV57" s="190"/>
      <c r="AW57" s="190"/>
      <c r="AX57" s="190"/>
      <c r="AY57" s="190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91"/>
      <c r="BK57" s="191"/>
      <c r="BL57" s="191"/>
      <c r="BM57" s="191"/>
      <c r="BN57" s="191"/>
      <c r="BO57" s="188"/>
      <c r="BP57" s="188"/>
      <c r="BQ57" s="188"/>
      <c r="BR57" s="188"/>
      <c r="BS57" s="192"/>
      <c r="BT57" s="158"/>
    </row>
    <row r="58" ht="21.0" customHeight="1">
      <c r="A58" s="81"/>
      <c r="B58" s="146">
        <v>7.0</v>
      </c>
      <c r="C58" s="147" t="s">
        <v>255</v>
      </c>
      <c r="D58" s="149"/>
      <c r="E58" s="224"/>
      <c r="F58" s="224"/>
      <c r="G58" s="149"/>
      <c r="H58" s="149"/>
      <c r="I58" s="225"/>
      <c r="J58" s="150"/>
      <c r="K58" s="150"/>
      <c r="L58" s="151"/>
      <c r="M58" s="152"/>
      <c r="N58" s="154"/>
      <c r="O58" s="154"/>
      <c r="P58" s="155"/>
      <c r="Q58" s="151"/>
      <c r="R58" s="155"/>
      <c r="S58" s="151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  <c r="BE58" s="155"/>
      <c r="BF58" s="155"/>
      <c r="BG58" s="155"/>
      <c r="BH58" s="155"/>
      <c r="BI58" s="155"/>
      <c r="BJ58" s="155"/>
      <c r="BK58" s="155"/>
      <c r="BL58" s="155"/>
      <c r="BM58" s="155"/>
      <c r="BN58" s="155"/>
      <c r="BO58" s="155"/>
      <c r="BP58" s="155"/>
      <c r="BQ58" s="155"/>
      <c r="BR58" s="155"/>
      <c r="BS58" s="155"/>
      <c r="BT58" s="81"/>
    </row>
    <row r="59" ht="17.25" customHeight="1" outlineLevel="1">
      <c r="A59" s="158"/>
      <c r="B59" s="211">
        <v>1.0</v>
      </c>
      <c r="C59" s="289" t="s">
        <v>257</v>
      </c>
      <c r="D59" s="290" t="s">
        <v>105</v>
      </c>
      <c r="E59" s="291"/>
      <c r="F59" s="291"/>
      <c r="G59" s="166"/>
      <c r="H59" s="166" t="s">
        <v>143</v>
      </c>
      <c r="I59" s="292"/>
      <c r="J59" s="294" t="s">
        <v>258</v>
      </c>
      <c r="K59" s="166"/>
      <c r="L59" s="215"/>
      <c r="M59" s="216"/>
      <c r="N59" s="295"/>
      <c r="O59" s="295"/>
      <c r="P59" s="295"/>
      <c r="Q59" s="218"/>
      <c r="R59" s="218"/>
      <c r="S59" s="218"/>
      <c r="T59" s="218"/>
      <c r="U59" s="218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20"/>
      <c r="AG59" s="220"/>
      <c r="AH59" s="220"/>
      <c r="AI59" s="220"/>
      <c r="AJ59" s="220"/>
      <c r="AK59" s="217"/>
      <c r="AL59" s="217"/>
      <c r="AM59" s="217"/>
      <c r="AN59" s="217"/>
      <c r="AO59" s="217"/>
      <c r="AP59" s="217"/>
      <c r="AQ59" s="217"/>
      <c r="AR59" s="217"/>
      <c r="AS59" s="217"/>
      <c r="AT59" s="217"/>
      <c r="AU59" s="221"/>
      <c r="AV59" s="221"/>
      <c r="AW59" s="221"/>
      <c r="AX59" s="221"/>
      <c r="AY59" s="221"/>
      <c r="AZ59" s="217"/>
      <c r="BA59" s="217"/>
      <c r="BB59" s="217"/>
      <c r="BC59" s="217"/>
      <c r="BD59" s="217"/>
      <c r="BE59" s="217"/>
      <c r="BF59" s="217"/>
      <c r="BG59" s="217"/>
      <c r="BH59" s="217"/>
      <c r="BI59" s="217"/>
      <c r="BJ59" s="222"/>
      <c r="BK59" s="222"/>
      <c r="BL59" s="222"/>
      <c r="BM59" s="222"/>
      <c r="BN59" s="222"/>
      <c r="BO59" s="217"/>
      <c r="BP59" s="217"/>
      <c r="BQ59" s="217"/>
      <c r="BR59" s="217"/>
      <c r="BS59" s="217"/>
      <c r="BT59" s="158"/>
    </row>
    <row r="60" ht="17.25" customHeight="1" outlineLevel="1">
      <c r="A60" s="158"/>
      <c r="B60" s="159">
        <v>2.0</v>
      </c>
      <c r="C60" s="296" t="s">
        <v>261</v>
      </c>
      <c r="D60" s="297" t="s">
        <v>105</v>
      </c>
      <c r="E60" s="163">
        <v>46148.0</v>
      </c>
      <c r="F60" s="163">
        <v>46168.0</v>
      </c>
      <c r="G60" s="166">
        <f t="shared" ref="G60:G68" si="5">DAYS360(E60,F60)</f>
        <v>20</v>
      </c>
      <c r="H60" s="166" t="s">
        <v>143</v>
      </c>
      <c r="I60" s="292" t="s">
        <v>262</v>
      </c>
      <c r="J60" s="298" t="s">
        <v>263</v>
      </c>
      <c r="K60" s="171"/>
      <c r="L60" s="228"/>
      <c r="M60" s="173"/>
      <c r="N60" s="174"/>
      <c r="O60" s="174"/>
      <c r="P60" s="174"/>
      <c r="Q60" s="229"/>
      <c r="R60" s="229"/>
      <c r="S60" s="229"/>
      <c r="T60" s="229"/>
      <c r="U60" s="229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9"/>
      <c r="AG60" s="179"/>
      <c r="AH60" s="179"/>
      <c r="AI60" s="179"/>
      <c r="AJ60" s="179"/>
      <c r="AK60" s="177"/>
      <c r="AL60" s="177"/>
      <c r="AM60" s="177"/>
      <c r="AN60" s="177"/>
      <c r="AO60" s="177"/>
      <c r="AP60" s="177"/>
      <c r="AQ60" s="177"/>
      <c r="AR60" s="177"/>
      <c r="AS60" s="177"/>
      <c r="AT60" s="177"/>
      <c r="AU60" s="181"/>
      <c r="AV60" s="181"/>
      <c r="AW60" s="181"/>
      <c r="AX60" s="181"/>
      <c r="AY60" s="181"/>
      <c r="AZ60" s="177"/>
      <c r="BA60" s="177"/>
      <c r="BB60" s="177"/>
      <c r="BC60" s="177"/>
      <c r="BD60" s="177"/>
      <c r="BE60" s="177"/>
      <c r="BF60" s="177"/>
      <c r="BG60" s="177"/>
      <c r="BH60" s="177"/>
      <c r="BI60" s="177"/>
      <c r="BJ60" s="182"/>
      <c r="BK60" s="182"/>
      <c r="BL60" s="182"/>
      <c r="BM60" s="182"/>
      <c r="BN60" s="182"/>
      <c r="BO60" s="177"/>
      <c r="BP60" s="177"/>
      <c r="BQ60" s="177"/>
      <c r="BR60" s="177"/>
      <c r="BS60" s="183"/>
      <c r="BT60" s="158"/>
    </row>
    <row r="61" ht="17.25" customHeight="1" outlineLevel="1">
      <c r="A61" s="158"/>
      <c r="B61" s="159">
        <v>3.0</v>
      </c>
      <c r="C61" s="296" t="s">
        <v>265</v>
      </c>
      <c r="D61" s="297" t="s">
        <v>266</v>
      </c>
      <c r="E61" s="163">
        <v>46155.0</v>
      </c>
      <c r="F61" s="163">
        <v>46156.0</v>
      </c>
      <c r="G61" s="166">
        <f t="shared" si="5"/>
        <v>1</v>
      </c>
      <c r="H61" s="166" t="s">
        <v>143</v>
      </c>
      <c r="I61" s="292" t="s">
        <v>267</v>
      </c>
      <c r="J61" s="299" t="s">
        <v>270</v>
      </c>
      <c r="K61" s="171"/>
      <c r="L61" s="231"/>
      <c r="M61" s="186"/>
      <c r="N61" s="187"/>
      <c r="O61" s="187"/>
      <c r="P61" s="188"/>
      <c r="Q61" s="229"/>
      <c r="R61" s="229"/>
      <c r="S61" s="229"/>
      <c r="T61" s="229"/>
      <c r="U61" s="229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9"/>
      <c r="AG61" s="189"/>
      <c r="AH61" s="189"/>
      <c r="AI61" s="189"/>
      <c r="AJ61" s="189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90"/>
      <c r="AV61" s="190"/>
      <c r="AW61" s="190"/>
      <c r="AX61" s="190"/>
      <c r="AY61" s="190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91"/>
      <c r="BK61" s="191"/>
      <c r="BL61" s="191"/>
      <c r="BM61" s="191"/>
      <c r="BN61" s="191"/>
      <c r="BO61" s="188"/>
      <c r="BP61" s="188"/>
      <c r="BQ61" s="188"/>
      <c r="BR61" s="188"/>
      <c r="BS61" s="192"/>
      <c r="BT61" s="158"/>
    </row>
    <row r="62" ht="17.25" customHeight="1" outlineLevel="1">
      <c r="A62" s="158"/>
      <c r="B62" s="159">
        <v>4.0</v>
      </c>
      <c r="C62" s="300" t="s">
        <v>271</v>
      </c>
      <c r="D62" s="297" t="s">
        <v>272</v>
      </c>
      <c r="E62" s="163">
        <v>46152.0</v>
      </c>
      <c r="F62" s="163">
        <v>46156.0</v>
      </c>
      <c r="G62" s="166">
        <f t="shared" si="5"/>
        <v>4</v>
      </c>
      <c r="H62" s="166" t="s">
        <v>143</v>
      </c>
      <c r="I62" s="292" t="s">
        <v>273</v>
      </c>
      <c r="J62" s="184" t="s">
        <v>274</v>
      </c>
      <c r="K62" s="171"/>
      <c r="L62" s="231"/>
      <c r="M62" s="186"/>
      <c r="N62" s="187"/>
      <c r="O62" s="187"/>
      <c r="P62" s="188"/>
      <c r="Q62" s="229"/>
      <c r="R62" s="229"/>
      <c r="S62" s="229"/>
      <c r="T62" s="229"/>
      <c r="U62" s="229"/>
      <c r="V62" s="174"/>
      <c r="W62" s="174"/>
      <c r="X62" s="174"/>
      <c r="Y62" s="174"/>
      <c r="Z62" s="188"/>
      <c r="AA62" s="188"/>
      <c r="AB62" s="188"/>
      <c r="AC62" s="188"/>
      <c r="AD62" s="188"/>
      <c r="AE62" s="188"/>
      <c r="AF62" s="189"/>
      <c r="AG62" s="189"/>
      <c r="AH62" s="189"/>
      <c r="AI62" s="189"/>
      <c r="AJ62" s="189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90"/>
      <c r="AV62" s="190"/>
      <c r="AW62" s="190"/>
      <c r="AX62" s="190"/>
      <c r="AY62" s="190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91"/>
      <c r="BK62" s="191"/>
      <c r="BL62" s="191"/>
      <c r="BM62" s="191"/>
      <c r="BN62" s="191"/>
      <c r="BO62" s="188"/>
      <c r="BP62" s="188"/>
      <c r="BQ62" s="188"/>
      <c r="BR62" s="188"/>
      <c r="BS62" s="192"/>
      <c r="BT62" s="158"/>
    </row>
    <row r="63" ht="17.25" customHeight="1" outlineLevel="1">
      <c r="A63" s="158"/>
      <c r="B63" s="159">
        <v>5.0</v>
      </c>
      <c r="C63" s="300" t="s">
        <v>277</v>
      </c>
      <c r="D63" s="297" t="s">
        <v>278</v>
      </c>
      <c r="E63" s="163">
        <v>46162.0</v>
      </c>
      <c r="F63" s="163">
        <v>46164.0</v>
      </c>
      <c r="G63" s="166">
        <f t="shared" si="5"/>
        <v>2</v>
      </c>
      <c r="H63" s="166" t="s">
        <v>154</v>
      </c>
      <c r="I63" s="304" t="s">
        <v>280</v>
      </c>
      <c r="J63" s="226"/>
      <c r="K63" s="200"/>
      <c r="L63" s="231"/>
      <c r="M63" s="186"/>
      <c r="N63" s="187"/>
      <c r="O63" s="187"/>
      <c r="P63" s="188"/>
      <c r="Q63" s="229"/>
      <c r="R63" s="229"/>
      <c r="S63" s="229"/>
      <c r="T63" s="229"/>
      <c r="U63" s="229"/>
      <c r="V63" s="174"/>
      <c r="W63" s="174"/>
      <c r="X63" s="174"/>
      <c r="Y63" s="174"/>
      <c r="Z63" s="188"/>
      <c r="AA63" s="188"/>
      <c r="AB63" s="188"/>
      <c r="AC63" s="188"/>
      <c r="AD63" s="188"/>
      <c r="AE63" s="188"/>
      <c r="AF63" s="189"/>
      <c r="AG63" s="189"/>
      <c r="AH63" s="189"/>
      <c r="AI63" s="189"/>
      <c r="AJ63" s="189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90"/>
      <c r="AV63" s="190"/>
      <c r="AW63" s="190"/>
      <c r="AX63" s="190"/>
      <c r="AY63" s="190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91"/>
      <c r="BK63" s="191"/>
      <c r="BL63" s="191"/>
      <c r="BM63" s="191"/>
      <c r="BN63" s="191"/>
      <c r="BO63" s="188"/>
      <c r="BP63" s="188"/>
      <c r="BQ63" s="188"/>
      <c r="BR63" s="188"/>
      <c r="BS63" s="192"/>
      <c r="BT63" s="158"/>
    </row>
    <row r="64" ht="17.25" customHeight="1" outlineLevel="1">
      <c r="A64" s="158"/>
      <c r="B64" s="159">
        <v>6.0</v>
      </c>
      <c r="C64" s="300" t="s">
        <v>281</v>
      </c>
      <c r="D64" s="297" t="s">
        <v>272</v>
      </c>
      <c r="E64" s="163">
        <v>46165.0</v>
      </c>
      <c r="F64" s="163">
        <v>46169.0</v>
      </c>
      <c r="G64" s="166">
        <f t="shared" si="5"/>
        <v>4</v>
      </c>
      <c r="H64" s="166" t="s">
        <v>143</v>
      </c>
      <c r="I64" s="292" t="s">
        <v>273</v>
      </c>
      <c r="J64" s="184" t="s">
        <v>283</v>
      </c>
      <c r="K64" s="171"/>
      <c r="L64" s="228"/>
      <c r="M64" s="173"/>
      <c r="N64" s="174"/>
      <c r="O64" s="174"/>
      <c r="P64" s="174"/>
      <c r="Q64" s="229"/>
      <c r="R64" s="229"/>
      <c r="S64" s="229"/>
      <c r="T64" s="229"/>
      <c r="U64" s="229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9"/>
      <c r="AG64" s="179"/>
      <c r="AH64" s="179"/>
      <c r="AI64" s="179"/>
      <c r="AJ64" s="179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81"/>
      <c r="AV64" s="181"/>
      <c r="AW64" s="181"/>
      <c r="AX64" s="181"/>
      <c r="AY64" s="181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82"/>
      <c r="BK64" s="182"/>
      <c r="BL64" s="182"/>
      <c r="BM64" s="182"/>
      <c r="BN64" s="182"/>
      <c r="BO64" s="177"/>
      <c r="BP64" s="177"/>
      <c r="BQ64" s="177"/>
      <c r="BR64" s="177"/>
      <c r="BS64" s="183"/>
      <c r="BT64" s="158"/>
    </row>
    <row r="65" ht="17.25" customHeight="1" outlineLevel="1">
      <c r="A65" s="158"/>
      <c r="B65" s="159">
        <v>7.0</v>
      </c>
      <c r="C65" s="300" t="str">
        <f>C63</f>
        <v>konten seputar BEM</v>
      </c>
      <c r="D65" s="297" t="s">
        <v>278</v>
      </c>
      <c r="E65" s="163">
        <v>46167.0</v>
      </c>
      <c r="F65" s="163">
        <v>46171.0</v>
      </c>
      <c r="G65" s="166">
        <f t="shared" si="5"/>
        <v>4</v>
      </c>
      <c r="H65" s="166" t="s">
        <v>154</v>
      </c>
      <c r="I65" s="292" t="s">
        <v>280</v>
      </c>
      <c r="J65" s="226"/>
      <c r="K65" s="171"/>
      <c r="L65" s="231"/>
      <c r="M65" s="186"/>
      <c r="N65" s="187"/>
      <c r="O65" s="187"/>
      <c r="P65" s="188"/>
      <c r="Q65" s="229"/>
      <c r="R65" s="229"/>
      <c r="S65" s="229"/>
      <c r="T65" s="229"/>
      <c r="U65" s="229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9"/>
      <c r="AG65" s="189"/>
      <c r="AH65" s="189"/>
      <c r="AI65" s="189"/>
      <c r="AJ65" s="189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90"/>
      <c r="AV65" s="190"/>
      <c r="AW65" s="190"/>
      <c r="AX65" s="190"/>
      <c r="AY65" s="190"/>
      <c r="AZ65" s="188"/>
      <c r="BA65" s="188"/>
      <c r="BB65" s="188"/>
      <c r="BC65" s="188"/>
      <c r="BD65" s="188"/>
      <c r="BE65" s="188"/>
      <c r="BF65" s="188"/>
      <c r="BG65" s="188"/>
      <c r="BH65" s="188"/>
      <c r="BI65" s="188"/>
      <c r="BJ65" s="191"/>
      <c r="BK65" s="191"/>
      <c r="BL65" s="191"/>
      <c r="BM65" s="191"/>
      <c r="BN65" s="191"/>
      <c r="BO65" s="188"/>
      <c r="BP65" s="188"/>
      <c r="BQ65" s="188"/>
      <c r="BR65" s="188"/>
      <c r="BS65" s="192"/>
      <c r="BT65" s="158"/>
    </row>
    <row r="66" ht="17.25" customHeight="1" outlineLevel="1">
      <c r="A66" s="158"/>
      <c r="B66" s="159">
        <v>8.0</v>
      </c>
      <c r="C66" s="300" t="s">
        <v>285</v>
      </c>
      <c r="D66" s="297" t="s">
        <v>272</v>
      </c>
      <c r="E66" s="163">
        <v>46169.0</v>
      </c>
      <c r="F66" s="163">
        <v>46173.0</v>
      </c>
      <c r="G66" s="166">
        <f t="shared" si="5"/>
        <v>4</v>
      </c>
      <c r="H66" s="166" t="s">
        <v>143</v>
      </c>
      <c r="I66" s="292" t="s">
        <v>273</v>
      </c>
      <c r="J66" s="184" t="s">
        <v>286</v>
      </c>
      <c r="K66" s="171"/>
      <c r="L66" s="231"/>
      <c r="M66" s="186"/>
      <c r="N66" s="187"/>
      <c r="O66" s="187"/>
      <c r="P66" s="188"/>
      <c r="Q66" s="229"/>
      <c r="R66" s="229"/>
      <c r="S66" s="229"/>
      <c r="T66" s="229"/>
      <c r="U66" s="229"/>
      <c r="V66" s="174"/>
      <c r="W66" s="174"/>
      <c r="X66" s="174"/>
      <c r="Y66" s="174"/>
      <c r="Z66" s="188"/>
      <c r="AA66" s="188"/>
      <c r="AB66" s="188"/>
      <c r="AC66" s="188"/>
      <c r="AD66" s="188"/>
      <c r="AE66" s="188"/>
      <c r="AF66" s="189"/>
      <c r="AG66" s="189"/>
      <c r="AH66" s="189"/>
      <c r="AI66" s="189"/>
      <c r="AJ66" s="189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90"/>
      <c r="AV66" s="190"/>
      <c r="AW66" s="190"/>
      <c r="AX66" s="190"/>
      <c r="AY66" s="190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91"/>
      <c r="BK66" s="191"/>
      <c r="BL66" s="191"/>
      <c r="BM66" s="191"/>
      <c r="BN66" s="191"/>
      <c r="BO66" s="188"/>
      <c r="BP66" s="188"/>
      <c r="BQ66" s="188"/>
      <c r="BR66" s="188"/>
      <c r="BS66" s="192"/>
      <c r="BT66" s="158"/>
    </row>
    <row r="67" ht="17.25" customHeight="1" outlineLevel="1">
      <c r="A67" s="158"/>
      <c r="B67" s="159">
        <v>9.0</v>
      </c>
      <c r="C67" s="307" t="s">
        <v>288</v>
      </c>
      <c r="D67" s="297" t="s">
        <v>272</v>
      </c>
      <c r="E67" s="163">
        <v>46170.0</v>
      </c>
      <c r="F67" s="163">
        <v>46174.0</v>
      </c>
      <c r="G67" s="166">
        <f t="shared" si="5"/>
        <v>3</v>
      </c>
      <c r="H67" s="166" t="s">
        <v>154</v>
      </c>
      <c r="I67" s="310" t="s">
        <v>273</v>
      </c>
      <c r="J67" s="184" t="s">
        <v>291</v>
      </c>
      <c r="K67" s="200"/>
      <c r="L67" s="231"/>
      <c r="M67" s="186"/>
      <c r="N67" s="187"/>
      <c r="O67" s="187"/>
      <c r="P67" s="188"/>
      <c r="Q67" s="229"/>
      <c r="R67" s="229"/>
      <c r="S67" s="229"/>
      <c r="T67" s="229"/>
      <c r="U67" s="229"/>
      <c r="V67" s="174"/>
      <c r="W67" s="174"/>
      <c r="X67" s="174"/>
      <c r="Y67" s="174"/>
      <c r="Z67" s="188"/>
      <c r="AA67" s="188"/>
      <c r="AB67" s="188"/>
      <c r="AC67" s="188"/>
      <c r="AD67" s="188"/>
      <c r="AE67" s="188"/>
      <c r="AF67" s="189"/>
      <c r="AG67" s="189"/>
      <c r="AH67" s="189"/>
      <c r="AI67" s="189"/>
      <c r="AJ67" s="189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90"/>
      <c r="AV67" s="190"/>
      <c r="AW67" s="190"/>
      <c r="AX67" s="190"/>
      <c r="AY67" s="190"/>
      <c r="AZ67" s="188"/>
      <c r="BA67" s="188"/>
      <c r="BB67" s="188"/>
      <c r="BC67" s="188"/>
      <c r="BD67" s="188"/>
      <c r="BE67" s="188"/>
      <c r="BF67" s="188"/>
      <c r="BG67" s="188"/>
      <c r="BH67" s="188"/>
      <c r="BI67" s="188"/>
      <c r="BJ67" s="191"/>
      <c r="BK67" s="191"/>
      <c r="BL67" s="191"/>
      <c r="BM67" s="191"/>
      <c r="BN67" s="191"/>
      <c r="BO67" s="188"/>
      <c r="BP67" s="188"/>
      <c r="BQ67" s="188"/>
      <c r="BR67" s="188"/>
      <c r="BS67" s="192"/>
      <c r="BT67" s="158"/>
    </row>
    <row r="68" ht="17.25" customHeight="1" outlineLevel="1">
      <c r="A68" s="158"/>
      <c r="B68" s="211">
        <v>11.0</v>
      </c>
      <c r="C68" s="311" t="s">
        <v>277</v>
      </c>
      <c r="D68" s="312" t="s">
        <v>278</v>
      </c>
      <c r="E68" s="291">
        <v>46183.0</v>
      </c>
      <c r="F68" s="163">
        <v>46185.0</v>
      </c>
      <c r="G68" s="166">
        <f t="shared" si="5"/>
        <v>2</v>
      </c>
      <c r="H68" s="166" t="s">
        <v>165</v>
      </c>
      <c r="I68" s="313" t="s">
        <v>280</v>
      </c>
      <c r="J68" s="226"/>
      <c r="K68" s="171"/>
      <c r="L68" s="228"/>
      <c r="M68" s="173"/>
      <c r="N68" s="174"/>
      <c r="O68" s="174"/>
      <c r="P68" s="174"/>
      <c r="Q68" s="229"/>
      <c r="R68" s="229"/>
      <c r="S68" s="229"/>
      <c r="T68" s="229"/>
      <c r="U68" s="229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9"/>
      <c r="AG68" s="179"/>
      <c r="AH68" s="179"/>
      <c r="AI68" s="179"/>
      <c r="AJ68" s="179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81"/>
      <c r="AV68" s="181"/>
      <c r="AW68" s="181"/>
      <c r="AX68" s="181"/>
      <c r="AY68" s="181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82"/>
      <c r="BK68" s="182"/>
      <c r="BL68" s="182"/>
      <c r="BM68" s="182"/>
      <c r="BN68" s="182"/>
      <c r="BO68" s="177"/>
      <c r="BP68" s="177"/>
      <c r="BQ68" s="177"/>
      <c r="BR68" s="177"/>
      <c r="BS68" s="183"/>
      <c r="BT68" s="158"/>
    </row>
    <row r="69" ht="17.25" customHeight="1" outlineLevel="1">
      <c r="A69" s="158"/>
      <c r="B69" s="314"/>
      <c r="C69" s="46"/>
      <c r="D69" s="46"/>
      <c r="E69" s="314"/>
      <c r="F69" s="163">
        <v>46188.0</v>
      </c>
      <c r="I69" s="315"/>
      <c r="J69" s="226"/>
      <c r="K69" s="171"/>
      <c r="L69" s="228"/>
      <c r="M69" s="173"/>
      <c r="N69" s="174"/>
      <c r="O69" s="174"/>
      <c r="P69" s="174"/>
      <c r="Q69" s="229"/>
      <c r="R69" s="229"/>
      <c r="S69" s="229"/>
      <c r="T69" s="229"/>
      <c r="U69" s="229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9"/>
      <c r="AG69" s="179"/>
      <c r="AH69" s="179"/>
      <c r="AI69" s="179"/>
      <c r="AJ69" s="179"/>
      <c r="AK69" s="177"/>
      <c r="AL69" s="177"/>
      <c r="AM69" s="177"/>
      <c r="AN69" s="177"/>
      <c r="AO69" s="177"/>
      <c r="AP69" s="177"/>
      <c r="AQ69" s="177"/>
      <c r="AR69" s="177"/>
      <c r="AS69" s="177"/>
      <c r="AT69" s="177"/>
      <c r="AU69" s="181"/>
      <c r="AV69" s="181"/>
      <c r="AW69" s="181"/>
      <c r="AX69" s="181"/>
      <c r="AY69" s="181"/>
      <c r="AZ69" s="177"/>
      <c r="BA69" s="177"/>
      <c r="BB69" s="177"/>
      <c r="BC69" s="177"/>
      <c r="BD69" s="177"/>
      <c r="BE69" s="177"/>
      <c r="BF69" s="177"/>
      <c r="BG69" s="177"/>
      <c r="BH69" s="177"/>
      <c r="BI69" s="177"/>
      <c r="BJ69" s="182"/>
      <c r="BK69" s="182"/>
      <c r="BL69" s="182"/>
      <c r="BM69" s="182"/>
      <c r="BN69" s="182"/>
      <c r="BO69" s="177"/>
      <c r="BP69" s="177"/>
      <c r="BQ69" s="177"/>
      <c r="BR69" s="177"/>
      <c r="BS69" s="183"/>
      <c r="BT69" s="158"/>
    </row>
    <row r="70" ht="17.25" customHeight="1" outlineLevel="1">
      <c r="A70" s="158"/>
      <c r="B70" s="211">
        <v>13.0</v>
      </c>
      <c r="C70" s="311" t="s">
        <v>277</v>
      </c>
      <c r="D70" s="312" t="s">
        <v>278</v>
      </c>
      <c r="E70" s="291">
        <v>46190.0</v>
      </c>
      <c r="F70" s="163">
        <v>46192.0</v>
      </c>
      <c r="G70" s="166">
        <f>DAYS360(E70,F70)</f>
        <v>2</v>
      </c>
      <c r="H70" s="166" t="s">
        <v>165</v>
      </c>
      <c r="I70" s="313" t="s">
        <v>280</v>
      </c>
      <c r="J70" s="226"/>
      <c r="K70" s="171"/>
      <c r="L70" s="228"/>
      <c r="M70" s="173"/>
      <c r="N70" s="174"/>
      <c r="O70" s="174"/>
      <c r="P70" s="174"/>
      <c r="Q70" s="229"/>
      <c r="R70" s="229"/>
      <c r="S70" s="229"/>
      <c r="T70" s="229"/>
      <c r="U70" s="229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9"/>
      <c r="AG70" s="179"/>
      <c r="AH70" s="179"/>
      <c r="AI70" s="179"/>
      <c r="AJ70" s="179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81"/>
      <c r="AV70" s="181"/>
      <c r="AW70" s="181"/>
      <c r="AX70" s="181"/>
      <c r="AY70" s="181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82"/>
      <c r="BK70" s="182"/>
      <c r="BL70" s="182"/>
      <c r="BM70" s="182"/>
      <c r="BN70" s="182"/>
      <c r="BO70" s="177"/>
      <c r="BP70" s="177"/>
      <c r="BQ70" s="177"/>
      <c r="BR70" s="177"/>
      <c r="BS70" s="183"/>
      <c r="BT70" s="158"/>
    </row>
    <row r="71" ht="17.25" customHeight="1" outlineLevel="1">
      <c r="A71" s="158"/>
      <c r="B71" s="314"/>
      <c r="C71" s="46"/>
      <c r="D71" s="46"/>
      <c r="E71" s="314"/>
      <c r="F71" s="163">
        <v>46195.0</v>
      </c>
      <c r="I71" s="315"/>
      <c r="J71" s="226"/>
      <c r="K71" s="171"/>
      <c r="L71" s="228"/>
      <c r="M71" s="173"/>
      <c r="N71" s="174"/>
      <c r="O71" s="174"/>
      <c r="P71" s="174"/>
      <c r="Q71" s="229"/>
      <c r="R71" s="229"/>
      <c r="S71" s="229"/>
      <c r="T71" s="229"/>
      <c r="U71" s="229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9"/>
      <c r="AG71" s="179"/>
      <c r="AH71" s="179"/>
      <c r="AI71" s="179"/>
      <c r="AJ71" s="179"/>
      <c r="AK71" s="177"/>
      <c r="AL71" s="177"/>
      <c r="AM71" s="177"/>
      <c r="AN71" s="177"/>
      <c r="AO71" s="177"/>
      <c r="AP71" s="177"/>
      <c r="AQ71" s="177"/>
      <c r="AR71" s="177"/>
      <c r="AS71" s="177"/>
      <c r="AT71" s="177"/>
      <c r="AU71" s="181"/>
      <c r="AV71" s="181"/>
      <c r="AW71" s="181"/>
      <c r="AX71" s="181"/>
      <c r="AY71" s="181"/>
      <c r="AZ71" s="177"/>
      <c r="BA71" s="177"/>
      <c r="BB71" s="177"/>
      <c r="BC71" s="177"/>
      <c r="BD71" s="177"/>
      <c r="BE71" s="177"/>
      <c r="BF71" s="177"/>
      <c r="BG71" s="177"/>
      <c r="BH71" s="177"/>
      <c r="BI71" s="177"/>
      <c r="BJ71" s="182"/>
      <c r="BK71" s="182"/>
      <c r="BL71" s="182"/>
      <c r="BM71" s="182"/>
      <c r="BN71" s="182"/>
      <c r="BO71" s="177"/>
      <c r="BP71" s="177"/>
      <c r="BQ71" s="177"/>
      <c r="BR71" s="177"/>
      <c r="BS71" s="183"/>
      <c r="BT71" s="158"/>
    </row>
    <row r="72" ht="17.25" customHeight="1" outlineLevel="1">
      <c r="A72" s="158"/>
      <c r="B72" s="159">
        <v>14.0</v>
      </c>
      <c r="C72" s="307" t="s">
        <v>299</v>
      </c>
      <c r="D72" s="297" t="s">
        <v>272</v>
      </c>
      <c r="E72" s="163">
        <v>46184.0</v>
      </c>
      <c r="F72" s="163">
        <v>46189.0</v>
      </c>
      <c r="G72" s="166">
        <f t="shared" ref="G72:G73" si="6">DAYS360(E72,F72)</f>
        <v>5</v>
      </c>
      <c r="H72" s="166" t="s">
        <v>165</v>
      </c>
      <c r="I72" s="310" t="s">
        <v>273</v>
      </c>
      <c r="J72" s="226"/>
      <c r="K72" s="171"/>
      <c r="L72" s="231"/>
      <c r="M72" s="186"/>
      <c r="N72" s="187"/>
      <c r="O72" s="187"/>
      <c r="P72" s="188"/>
      <c r="Q72" s="229"/>
      <c r="R72" s="229"/>
      <c r="S72" s="229"/>
      <c r="T72" s="229"/>
      <c r="U72" s="229"/>
      <c r="V72" s="174"/>
      <c r="W72" s="174"/>
      <c r="X72" s="174"/>
      <c r="Y72" s="174"/>
      <c r="Z72" s="188"/>
      <c r="AA72" s="188"/>
      <c r="AB72" s="188"/>
      <c r="AC72" s="188"/>
      <c r="AD72" s="188"/>
      <c r="AE72" s="188"/>
      <c r="AF72" s="189"/>
      <c r="AG72" s="189"/>
      <c r="AH72" s="189"/>
      <c r="AI72" s="189"/>
      <c r="AJ72" s="189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90"/>
      <c r="AV72" s="190"/>
      <c r="AW72" s="190"/>
      <c r="AX72" s="190"/>
      <c r="AY72" s="190"/>
      <c r="AZ72" s="188"/>
      <c r="BA72" s="188"/>
      <c r="BB72" s="188"/>
      <c r="BC72" s="188"/>
      <c r="BD72" s="188"/>
      <c r="BE72" s="188"/>
      <c r="BF72" s="188"/>
      <c r="BG72" s="188"/>
      <c r="BH72" s="188"/>
      <c r="BI72" s="188"/>
      <c r="BJ72" s="191"/>
      <c r="BK72" s="191"/>
      <c r="BL72" s="191"/>
      <c r="BM72" s="191"/>
      <c r="BN72" s="191"/>
      <c r="BO72" s="188"/>
      <c r="BP72" s="188"/>
      <c r="BQ72" s="188"/>
      <c r="BR72" s="188"/>
      <c r="BS72" s="192"/>
      <c r="BT72" s="158"/>
    </row>
    <row r="73" ht="17.25" customHeight="1" outlineLevel="1">
      <c r="A73" s="158"/>
      <c r="B73" s="211">
        <v>16.0</v>
      </c>
      <c r="C73" s="311" t="s">
        <v>277</v>
      </c>
      <c r="D73" s="312" t="s">
        <v>278</v>
      </c>
      <c r="E73" s="291">
        <v>46197.0</v>
      </c>
      <c r="F73" s="163">
        <v>46199.0</v>
      </c>
      <c r="G73" s="166">
        <f t="shared" si="6"/>
        <v>2</v>
      </c>
      <c r="H73" s="166" t="s">
        <v>165</v>
      </c>
      <c r="I73" s="313" t="s">
        <v>280</v>
      </c>
      <c r="J73" s="226"/>
      <c r="K73" s="200"/>
      <c r="L73" s="231"/>
      <c r="M73" s="186"/>
      <c r="N73" s="187"/>
      <c r="O73" s="187"/>
      <c r="P73" s="188"/>
      <c r="Q73" s="229"/>
      <c r="R73" s="229"/>
      <c r="S73" s="229"/>
      <c r="T73" s="229"/>
      <c r="U73" s="229"/>
      <c r="V73" s="174"/>
      <c r="W73" s="174"/>
      <c r="X73" s="174"/>
      <c r="Y73" s="174"/>
      <c r="Z73" s="188"/>
      <c r="AA73" s="188"/>
      <c r="AB73" s="188"/>
      <c r="AC73" s="188"/>
      <c r="AD73" s="188"/>
      <c r="AE73" s="188"/>
      <c r="AF73" s="189"/>
      <c r="AG73" s="189"/>
      <c r="AH73" s="189"/>
      <c r="AI73" s="189"/>
      <c r="AJ73" s="189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90"/>
      <c r="AV73" s="190"/>
      <c r="AW73" s="190"/>
      <c r="AX73" s="190"/>
      <c r="AY73" s="190"/>
      <c r="AZ73" s="188"/>
      <c r="BA73" s="188"/>
      <c r="BB73" s="188"/>
      <c r="BC73" s="188"/>
      <c r="BD73" s="188"/>
      <c r="BE73" s="188"/>
      <c r="BF73" s="188"/>
      <c r="BG73" s="188"/>
      <c r="BH73" s="188"/>
      <c r="BI73" s="188"/>
      <c r="BJ73" s="191"/>
      <c r="BK73" s="191"/>
      <c r="BL73" s="191"/>
      <c r="BM73" s="191"/>
      <c r="BN73" s="191"/>
      <c r="BO73" s="188"/>
      <c r="BP73" s="188"/>
      <c r="BQ73" s="188"/>
      <c r="BR73" s="188"/>
      <c r="BS73" s="192"/>
      <c r="BT73" s="158"/>
    </row>
    <row r="74" ht="17.25" customHeight="1" outlineLevel="1">
      <c r="A74" s="158"/>
      <c r="B74" s="314"/>
      <c r="C74" s="46"/>
      <c r="D74" s="46"/>
      <c r="E74" s="314"/>
      <c r="F74" s="163">
        <v>46202.0</v>
      </c>
      <c r="G74" s="314"/>
      <c r="I74" s="315"/>
      <c r="J74" s="226"/>
      <c r="K74" s="200"/>
      <c r="L74" s="228"/>
      <c r="M74" s="173"/>
      <c r="N74" s="174"/>
      <c r="O74" s="174"/>
      <c r="P74" s="177"/>
      <c r="Q74" s="229"/>
      <c r="R74" s="229"/>
      <c r="S74" s="229"/>
      <c r="T74" s="229"/>
      <c r="U74" s="229"/>
      <c r="V74" s="174"/>
      <c r="W74" s="174"/>
      <c r="X74" s="174"/>
      <c r="Y74" s="174"/>
      <c r="Z74" s="177"/>
      <c r="AA74" s="177"/>
      <c r="AB74" s="177"/>
      <c r="AC74" s="177"/>
      <c r="AD74" s="177"/>
      <c r="AE74" s="177"/>
      <c r="AF74" s="179"/>
      <c r="AG74" s="179"/>
      <c r="AH74" s="179"/>
      <c r="AI74" s="179"/>
      <c r="AJ74" s="179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81"/>
      <c r="AV74" s="181"/>
      <c r="AW74" s="181"/>
      <c r="AX74" s="181"/>
      <c r="AY74" s="181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82"/>
      <c r="BK74" s="182"/>
      <c r="BL74" s="182"/>
      <c r="BM74" s="182"/>
      <c r="BN74" s="182"/>
      <c r="BO74" s="177"/>
      <c r="BP74" s="177"/>
      <c r="BQ74" s="177"/>
      <c r="BR74" s="177"/>
      <c r="BS74" s="183"/>
      <c r="BT74" s="158"/>
    </row>
    <row r="75" ht="17.25" customHeight="1" outlineLevel="1">
      <c r="A75" s="158"/>
      <c r="B75" s="159">
        <v>17.0</v>
      </c>
      <c r="C75" s="318" t="s">
        <v>305</v>
      </c>
      <c r="D75" s="162" t="s">
        <v>105</v>
      </c>
      <c r="E75" s="163">
        <v>46147.0</v>
      </c>
      <c r="F75" s="163">
        <v>46154.0</v>
      </c>
      <c r="G75" s="166">
        <f>DAYS360(E75,F75)</f>
        <v>7</v>
      </c>
      <c r="H75" s="166" t="s">
        <v>154</v>
      </c>
      <c r="I75" s="168" t="s">
        <v>155</v>
      </c>
      <c r="J75" s="226"/>
      <c r="K75" s="171"/>
      <c r="L75" s="231"/>
      <c r="M75" s="186"/>
      <c r="N75" s="187"/>
      <c r="O75" s="187"/>
      <c r="P75" s="188"/>
      <c r="Q75" s="229"/>
      <c r="R75" s="229"/>
      <c r="S75" s="229"/>
      <c r="T75" s="229"/>
      <c r="U75" s="229"/>
      <c r="V75" s="174"/>
      <c r="W75" s="174"/>
      <c r="X75" s="174"/>
      <c r="Y75" s="174"/>
      <c r="Z75" s="188"/>
      <c r="AA75" s="188"/>
      <c r="AB75" s="188"/>
      <c r="AC75" s="188"/>
      <c r="AD75" s="188"/>
      <c r="AE75" s="188"/>
      <c r="AF75" s="189"/>
      <c r="AG75" s="189"/>
      <c r="AH75" s="189"/>
      <c r="AI75" s="189"/>
      <c r="AJ75" s="189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90"/>
      <c r="AV75" s="190"/>
      <c r="AW75" s="190"/>
      <c r="AX75" s="190"/>
      <c r="AY75" s="190"/>
      <c r="AZ75" s="188"/>
      <c r="BA75" s="188"/>
      <c r="BB75" s="188"/>
      <c r="BC75" s="188"/>
      <c r="BD75" s="188"/>
      <c r="BE75" s="188"/>
      <c r="BF75" s="188"/>
      <c r="BG75" s="188"/>
      <c r="BH75" s="188"/>
      <c r="BI75" s="188"/>
      <c r="BJ75" s="191"/>
      <c r="BK75" s="191"/>
      <c r="BL75" s="191"/>
      <c r="BM75" s="191"/>
      <c r="BN75" s="191"/>
      <c r="BO75" s="188"/>
      <c r="BP75" s="188"/>
      <c r="BQ75" s="188"/>
      <c r="BR75" s="188"/>
      <c r="BS75" s="192"/>
      <c r="BT75" s="158"/>
    </row>
    <row r="76" ht="17.25" customHeight="1" outlineLevel="1">
      <c r="A76" s="158"/>
      <c r="B76" s="211"/>
      <c r="C76" s="319"/>
      <c r="D76" s="290"/>
      <c r="E76" s="291"/>
      <c r="F76" s="291"/>
      <c r="G76" s="166"/>
      <c r="H76" s="166"/>
      <c r="I76" s="166"/>
      <c r="J76" s="166"/>
      <c r="K76" s="166"/>
      <c r="L76" s="215"/>
      <c r="M76" s="216"/>
      <c r="N76" s="295"/>
      <c r="O76" s="295"/>
      <c r="P76" s="217"/>
      <c r="Q76" s="218"/>
      <c r="R76" s="218"/>
      <c r="S76" s="218"/>
      <c r="T76" s="218"/>
      <c r="U76" s="218"/>
      <c r="V76" s="295"/>
      <c r="W76" s="295"/>
      <c r="X76" s="295"/>
      <c r="Y76" s="295"/>
      <c r="Z76" s="217"/>
      <c r="AA76" s="217"/>
      <c r="AB76" s="217"/>
      <c r="AC76" s="217"/>
      <c r="AD76" s="217"/>
      <c r="AE76" s="217"/>
      <c r="AF76" s="220"/>
      <c r="AG76" s="220"/>
      <c r="AH76" s="220"/>
      <c r="AI76" s="220"/>
      <c r="AJ76" s="220"/>
      <c r="AK76" s="217"/>
      <c r="AL76" s="217"/>
      <c r="AM76" s="217"/>
      <c r="AN76" s="217"/>
      <c r="AO76" s="217"/>
      <c r="AP76" s="217"/>
      <c r="AQ76" s="217"/>
      <c r="AR76" s="217"/>
      <c r="AS76" s="217"/>
      <c r="AT76" s="217"/>
      <c r="AU76" s="221"/>
      <c r="AV76" s="221"/>
      <c r="AW76" s="221"/>
      <c r="AX76" s="221"/>
      <c r="AY76" s="221"/>
      <c r="AZ76" s="217"/>
      <c r="BA76" s="217"/>
      <c r="BB76" s="217"/>
      <c r="BC76" s="217"/>
      <c r="BD76" s="217"/>
      <c r="BE76" s="217"/>
      <c r="BF76" s="217"/>
      <c r="BG76" s="217"/>
      <c r="BH76" s="217"/>
      <c r="BI76" s="217"/>
      <c r="BJ76" s="222"/>
      <c r="BK76" s="222"/>
      <c r="BL76" s="222"/>
      <c r="BM76" s="222"/>
      <c r="BN76" s="222"/>
      <c r="BO76" s="217"/>
      <c r="BP76" s="217"/>
      <c r="BQ76" s="217"/>
      <c r="BR76" s="217"/>
      <c r="BS76" s="217"/>
      <c r="BT76" s="158"/>
    </row>
    <row r="77" ht="17.25" customHeight="1" outlineLevel="1">
      <c r="A77" s="158"/>
      <c r="B77" s="211"/>
      <c r="C77" s="319"/>
      <c r="D77" s="290"/>
      <c r="E77" s="291"/>
      <c r="F77" s="291"/>
      <c r="G77" s="166"/>
      <c r="H77" s="166"/>
      <c r="I77" s="166"/>
      <c r="J77" s="166"/>
      <c r="K77" s="166"/>
      <c r="L77" s="215"/>
      <c r="M77" s="216"/>
      <c r="N77" s="295"/>
      <c r="O77" s="295"/>
      <c r="P77" s="217"/>
      <c r="Q77" s="218"/>
      <c r="R77" s="218"/>
      <c r="S77" s="218"/>
      <c r="T77" s="218"/>
      <c r="U77" s="218"/>
      <c r="V77" s="295"/>
      <c r="W77" s="295"/>
      <c r="X77" s="295"/>
      <c r="Y77" s="295"/>
      <c r="Z77" s="217"/>
      <c r="AA77" s="217"/>
      <c r="AB77" s="217"/>
      <c r="AC77" s="217"/>
      <c r="AD77" s="217"/>
      <c r="AE77" s="217"/>
      <c r="AF77" s="220"/>
      <c r="AG77" s="220"/>
      <c r="AH77" s="220"/>
      <c r="AI77" s="220"/>
      <c r="AJ77" s="220"/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21"/>
      <c r="AV77" s="221"/>
      <c r="AW77" s="221"/>
      <c r="AX77" s="221"/>
      <c r="AY77" s="221"/>
      <c r="AZ77" s="217"/>
      <c r="BA77" s="217"/>
      <c r="BB77" s="217"/>
      <c r="BC77" s="217"/>
      <c r="BD77" s="217"/>
      <c r="BE77" s="217"/>
      <c r="BF77" s="217"/>
      <c r="BG77" s="217"/>
      <c r="BH77" s="217"/>
      <c r="BI77" s="217"/>
      <c r="BJ77" s="222"/>
      <c r="BK77" s="222"/>
      <c r="BL77" s="222"/>
      <c r="BM77" s="222"/>
      <c r="BN77" s="222"/>
      <c r="BO77" s="217"/>
      <c r="BP77" s="217"/>
      <c r="BQ77" s="217"/>
      <c r="BR77" s="217"/>
      <c r="BS77" s="217"/>
      <c r="BT77" s="158"/>
    </row>
    <row r="78" ht="17.25" customHeight="1" outlineLevel="1">
      <c r="A78" s="158"/>
      <c r="B78" s="211"/>
      <c r="C78" s="319"/>
      <c r="D78" s="290"/>
      <c r="E78" s="291"/>
      <c r="F78" s="291"/>
      <c r="G78" s="166"/>
      <c r="H78" s="166"/>
      <c r="I78" s="166"/>
      <c r="J78" s="166"/>
      <c r="K78" s="166"/>
      <c r="L78" s="215"/>
      <c r="M78" s="216"/>
      <c r="N78" s="295"/>
      <c r="O78" s="295"/>
      <c r="P78" s="217"/>
      <c r="Q78" s="218"/>
      <c r="R78" s="218"/>
      <c r="S78" s="218"/>
      <c r="T78" s="218"/>
      <c r="U78" s="218"/>
      <c r="V78" s="295"/>
      <c r="W78" s="295"/>
      <c r="X78" s="295"/>
      <c r="Y78" s="295"/>
      <c r="Z78" s="217"/>
      <c r="AA78" s="217"/>
      <c r="AB78" s="217"/>
      <c r="AC78" s="217"/>
      <c r="AD78" s="217"/>
      <c r="AE78" s="217"/>
      <c r="AF78" s="220"/>
      <c r="AG78" s="220"/>
      <c r="AH78" s="220"/>
      <c r="AI78" s="220"/>
      <c r="AJ78" s="220"/>
      <c r="AK78" s="217"/>
      <c r="AL78" s="217"/>
      <c r="AM78" s="217"/>
      <c r="AN78" s="217"/>
      <c r="AO78" s="217"/>
      <c r="AP78" s="217"/>
      <c r="AQ78" s="217"/>
      <c r="AR78" s="217"/>
      <c r="AS78" s="217"/>
      <c r="AT78" s="217"/>
      <c r="AU78" s="221"/>
      <c r="AV78" s="221"/>
      <c r="AW78" s="221"/>
      <c r="AX78" s="221"/>
      <c r="AY78" s="221"/>
      <c r="AZ78" s="217"/>
      <c r="BA78" s="217"/>
      <c r="BB78" s="217"/>
      <c r="BC78" s="217"/>
      <c r="BD78" s="217"/>
      <c r="BE78" s="217"/>
      <c r="BF78" s="217"/>
      <c r="BG78" s="217"/>
      <c r="BH78" s="217"/>
      <c r="BI78" s="217"/>
      <c r="BJ78" s="222"/>
      <c r="BK78" s="222"/>
      <c r="BL78" s="222"/>
      <c r="BM78" s="222"/>
      <c r="BN78" s="222"/>
      <c r="BO78" s="217"/>
      <c r="BP78" s="217"/>
      <c r="BQ78" s="217"/>
      <c r="BR78" s="217"/>
      <c r="BS78" s="217"/>
      <c r="BT78" s="158"/>
    </row>
    <row r="79" ht="17.25" customHeight="1" outlineLevel="1">
      <c r="A79" s="158"/>
      <c r="B79" s="211"/>
      <c r="C79" s="319"/>
      <c r="D79" s="290"/>
      <c r="E79" s="291"/>
      <c r="F79" s="291"/>
      <c r="G79" s="166"/>
      <c r="H79" s="166"/>
      <c r="I79" s="166"/>
      <c r="J79" s="166"/>
      <c r="K79" s="166"/>
      <c r="L79" s="215"/>
      <c r="M79" s="216"/>
      <c r="N79" s="295"/>
      <c r="O79" s="295"/>
      <c r="P79" s="217"/>
      <c r="Q79" s="218"/>
      <c r="R79" s="218"/>
      <c r="S79" s="218"/>
      <c r="T79" s="218"/>
      <c r="U79" s="218"/>
      <c r="V79" s="295"/>
      <c r="W79" s="295"/>
      <c r="X79" s="295"/>
      <c r="Y79" s="295"/>
      <c r="Z79" s="217"/>
      <c r="AA79" s="217"/>
      <c r="AB79" s="217"/>
      <c r="AC79" s="217"/>
      <c r="AD79" s="217"/>
      <c r="AE79" s="217"/>
      <c r="AF79" s="220"/>
      <c r="AG79" s="220"/>
      <c r="AH79" s="220"/>
      <c r="AI79" s="220"/>
      <c r="AJ79" s="220"/>
      <c r="AK79" s="217"/>
      <c r="AL79" s="217"/>
      <c r="AM79" s="217"/>
      <c r="AN79" s="217"/>
      <c r="AO79" s="217"/>
      <c r="AP79" s="217"/>
      <c r="AQ79" s="217"/>
      <c r="AR79" s="217"/>
      <c r="AS79" s="217"/>
      <c r="AT79" s="217"/>
      <c r="AU79" s="221"/>
      <c r="AV79" s="221"/>
      <c r="AW79" s="221"/>
      <c r="AX79" s="221"/>
      <c r="AY79" s="221"/>
      <c r="AZ79" s="217"/>
      <c r="BA79" s="217"/>
      <c r="BB79" s="217"/>
      <c r="BC79" s="217"/>
      <c r="BD79" s="217"/>
      <c r="BE79" s="217"/>
      <c r="BF79" s="217"/>
      <c r="BG79" s="217"/>
      <c r="BH79" s="217"/>
      <c r="BI79" s="217"/>
      <c r="BJ79" s="222"/>
      <c r="BK79" s="222"/>
      <c r="BL79" s="222"/>
      <c r="BM79" s="222"/>
      <c r="BN79" s="222"/>
      <c r="BO79" s="217"/>
      <c r="BP79" s="217"/>
      <c r="BQ79" s="217"/>
      <c r="BR79" s="217"/>
      <c r="BS79" s="217"/>
      <c r="BT79" s="158"/>
    </row>
    <row r="80" ht="17.25" customHeight="1" outlineLevel="1">
      <c r="A80" s="158"/>
      <c r="B80" s="211"/>
      <c r="C80" s="319"/>
      <c r="D80" s="290"/>
      <c r="E80" s="291"/>
      <c r="F80" s="291"/>
      <c r="G80" s="166"/>
      <c r="H80" s="166"/>
      <c r="I80" s="166"/>
      <c r="J80" s="166"/>
      <c r="K80" s="166"/>
      <c r="L80" s="215"/>
      <c r="M80" s="216"/>
      <c r="N80" s="295"/>
      <c r="O80" s="295"/>
      <c r="P80" s="217"/>
      <c r="Q80" s="218"/>
      <c r="R80" s="218"/>
      <c r="S80" s="218"/>
      <c r="T80" s="218"/>
      <c r="U80" s="218"/>
      <c r="V80" s="295"/>
      <c r="W80" s="295"/>
      <c r="X80" s="295"/>
      <c r="Y80" s="295"/>
      <c r="Z80" s="217"/>
      <c r="AA80" s="217"/>
      <c r="AB80" s="217"/>
      <c r="AC80" s="217"/>
      <c r="AD80" s="217"/>
      <c r="AE80" s="217"/>
      <c r="AF80" s="220"/>
      <c r="AG80" s="220"/>
      <c r="AH80" s="220"/>
      <c r="AI80" s="220"/>
      <c r="AJ80" s="220"/>
      <c r="AK80" s="217"/>
      <c r="AL80" s="217"/>
      <c r="AM80" s="217"/>
      <c r="AN80" s="217"/>
      <c r="AO80" s="217"/>
      <c r="AP80" s="217"/>
      <c r="AQ80" s="217"/>
      <c r="AR80" s="217"/>
      <c r="AS80" s="217"/>
      <c r="AT80" s="217"/>
      <c r="AU80" s="221"/>
      <c r="AV80" s="221"/>
      <c r="AW80" s="221"/>
      <c r="AX80" s="221"/>
      <c r="AY80" s="221"/>
      <c r="AZ80" s="217"/>
      <c r="BA80" s="217"/>
      <c r="BB80" s="217"/>
      <c r="BC80" s="217"/>
      <c r="BD80" s="217"/>
      <c r="BE80" s="217"/>
      <c r="BF80" s="217"/>
      <c r="BG80" s="217"/>
      <c r="BH80" s="217"/>
      <c r="BI80" s="217"/>
      <c r="BJ80" s="222"/>
      <c r="BK80" s="222"/>
      <c r="BL80" s="222"/>
      <c r="BM80" s="222"/>
      <c r="BN80" s="222"/>
      <c r="BO80" s="217"/>
      <c r="BP80" s="217"/>
      <c r="BQ80" s="217"/>
      <c r="BR80" s="217"/>
      <c r="BS80" s="217"/>
      <c r="BT80" s="158"/>
    </row>
  </sheetData>
  <mergeCells count="60">
    <mergeCell ref="AF9:AJ9"/>
    <mergeCell ref="AK9:AO9"/>
    <mergeCell ref="AP9:AT9"/>
    <mergeCell ref="AU9:AY9"/>
    <mergeCell ref="AZ9:BD9"/>
    <mergeCell ref="BE9:BI9"/>
    <mergeCell ref="BJ9:BN9"/>
    <mergeCell ref="BO9:BS9"/>
    <mergeCell ref="K8:K10"/>
    <mergeCell ref="L8:Z8"/>
    <mergeCell ref="AA8:AO8"/>
    <mergeCell ref="AP8:BD8"/>
    <mergeCell ref="BE8:BS8"/>
    <mergeCell ref="L9:P9"/>
    <mergeCell ref="Q9:U9"/>
    <mergeCell ref="B70:B71"/>
    <mergeCell ref="B73:B74"/>
    <mergeCell ref="C73:C74"/>
    <mergeCell ref="D73:D74"/>
    <mergeCell ref="E73:E74"/>
    <mergeCell ref="C8:C10"/>
    <mergeCell ref="D8:D10"/>
    <mergeCell ref="B68:B69"/>
    <mergeCell ref="C68:C69"/>
    <mergeCell ref="D68:D69"/>
    <mergeCell ref="E68:E69"/>
    <mergeCell ref="E70:E71"/>
    <mergeCell ref="B2:G2"/>
    <mergeCell ref="L2:Q2"/>
    <mergeCell ref="R2:AH2"/>
    <mergeCell ref="B4:C4"/>
    <mergeCell ref="D4:G4"/>
    <mergeCell ref="L4:R4"/>
    <mergeCell ref="S4:AE4"/>
    <mergeCell ref="E8:E10"/>
    <mergeCell ref="F8:F10"/>
    <mergeCell ref="G8:G10"/>
    <mergeCell ref="H8:H10"/>
    <mergeCell ref="G68:G69"/>
    <mergeCell ref="H68:H69"/>
    <mergeCell ref="I68:I69"/>
    <mergeCell ref="G73:G74"/>
    <mergeCell ref="H73:H74"/>
    <mergeCell ref="I73:I74"/>
    <mergeCell ref="I8:I10"/>
    <mergeCell ref="J8:J10"/>
    <mergeCell ref="B5:C5"/>
    <mergeCell ref="D5:G5"/>
    <mergeCell ref="L5:R5"/>
    <mergeCell ref="S5:AD5"/>
    <mergeCell ref="B6:C6"/>
    <mergeCell ref="D6:G6"/>
    <mergeCell ref="B8:B10"/>
    <mergeCell ref="V9:Z9"/>
    <mergeCell ref="AA9:AE9"/>
    <mergeCell ref="C70:C71"/>
    <mergeCell ref="D70:D71"/>
    <mergeCell ref="G70:G71"/>
    <mergeCell ref="H70:H71"/>
    <mergeCell ref="I70:I71"/>
  </mergeCells>
  <conditionalFormatting sqref="H12:I29 J12:K80 H31:I80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I29 J12:K80 H31:I80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D59:D68 D70 D75:D80">
      <formula1>"Jessy,Aurel,Ezequiella,Gracia,All Member"</formula1>
    </dataValidation>
    <dataValidation type="list" allowBlank="1" showErrorMessage="1" sqref="D12:D22 D24:D29 D31:D35 D42:D46 D48:D52 D54:D57">
      <formula1>"Arthur,Jemima,Rachel,Princess,Elisabeth Talita Violin ,Terrence Dennerly,Vanessa Mariana Soepriadi,Juan Louis,ALL MEMBER BD,Joseph Jeffry Hidayat ,Josia Arfianto,Jessica Violant Nathaniel,ALL MEMBER HUMAS,A una,Fellicia Florens,Kayla Nathania Haryanto Put"&amp;"ri,Jonathan wibowo ,Jericco wijaya,ALL MEMBER EVENT,Jessy,Gracia Keisha Adelline,Ezequiella Omasido Siahaan ,Aurelia Jocelyn Andika,ALL MEMBER Pubdoc,ALL MEMBER BEM FEB"</formula1>
    </dataValidation>
    <dataValidation type="list" allowBlank="1" showErrorMessage="1" sqref="I12">
      <formula1>"Content ,Administration,Logistic,Project Management,Relations,Event Planning,RAPAT"</formula1>
    </dataValidation>
    <dataValidation type="list" allowBlank="1" showErrorMessage="1" sqref="D72:D73">
      <formula1>"Jessy,Aurel,Ezequiella,Gracia"</formula1>
    </dataValidation>
    <dataValidation type="list" allowBlank="1" showErrorMessage="1" sqref="H12:H22 H24:H29 H31:H40 H42:H46 H48:H52 H54:H57 H59:H68 H70 H72:H73 H75:H80">
      <formula1>"Completed,On progress,At risk,OFF TRACK,Not Started"</formula1>
    </dataValidation>
    <dataValidation type="list" allowBlank="1" showErrorMessage="1" sqref="I59:I68 I70 I72:I73">
      <formula1>"IG Feeds,IG Stories,Tiktok,IG Reels"</formula1>
    </dataValidation>
    <dataValidation type="list" allowBlank="1" showErrorMessage="1" sqref="I13:I22 I24:I29 I31:I40 I42:I45 I48:I52 I54:I57 I75:I80">
      <formula1>"Content ,Administration,Logistic,Project Management,Relations/Sponsors,RAPAT"</formula1>
    </dataValidation>
  </dataValidations>
  <hyperlinks>
    <hyperlink r:id="rId1" ref="J12"/>
    <hyperlink r:id="rId2" ref="J13"/>
    <hyperlink r:id="rId3" ref="J14"/>
    <hyperlink r:id="rId4" ref="J15"/>
    <hyperlink r:id="rId5" location="gid=1012949376" ref="J16"/>
    <hyperlink r:id="rId6" ref="J17"/>
    <hyperlink r:id="rId7" ref="J18"/>
    <hyperlink r:id="rId8" location="gid=786394130" ref="J19"/>
    <hyperlink r:id="rId9" ref="J20"/>
    <hyperlink r:id="rId10" ref="J21"/>
    <hyperlink r:id="rId11" location="gid=1436981726" ref="J22"/>
    <hyperlink r:id="rId12" ref="J41"/>
    <hyperlink r:id="rId13" ref="J54"/>
    <hyperlink r:id="rId14" location="gid=0" ref="J55"/>
    <hyperlink r:id="rId15" ref="J59"/>
    <hyperlink r:id="rId16" ref="J60"/>
    <hyperlink r:id="rId17" ref="J61"/>
    <hyperlink r:id="rId18" ref="J62"/>
    <hyperlink r:id="rId19" ref="J64"/>
    <hyperlink r:id="rId20" ref="J66"/>
    <hyperlink r:id="rId21" ref="J67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1.75"/>
    <col customWidth="1" min="3" max="3" width="20.5"/>
    <col customWidth="1" min="4" max="4" width="27.5"/>
    <col customWidth="1" min="5" max="5" width="20.5"/>
    <col customWidth="1" min="6" max="6" width="23.13"/>
    <col customWidth="1" min="7" max="7" width="20.5"/>
    <col customWidth="1" min="8" max="8" width="1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/>
      <c r="C2" s="6" t="s">
        <v>0</v>
      </c>
      <c r="D2" s="8" t="s">
        <v>1</v>
      </c>
      <c r="E2" s="9" t="s">
        <v>2</v>
      </c>
      <c r="F2" s="10" t="s">
        <v>3</v>
      </c>
      <c r="G2" s="12" t="s">
        <v>4</v>
      </c>
      <c r="H2" s="14" t="s">
        <v>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8" t="s">
        <v>6</v>
      </c>
      <c r="C3" s="19"/>
      <c r="D3" s="20"/>
      <c r="E3" s="21"/>
      <c r="F3" s="22"/>
      <c r="G3" s="23"/>
      <c r="H3" s="2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8" t="s">
        <v>7</v>
      </c>
      <c r="C4" s="26"/>
      <c r="D4" s="20"/>
      <c r="E4" s="21"/>
      <c r="F4" s="22"/>
      <c r="G4" s="27"/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8" t="s">
        <v>8</v>
      </c>
      <c r="C5" s="19"/>
      <c r="D5" s="20"/>
      <c r="E5" s="21"/>
      <c r="F5" s="22"/>
      <c r="G5" s="23"/>
      <c r="H5" s="2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9</v>
      </c>
      <c r="C6" s="19"/>
      <c r="D6" s="20"/>
      <c r="E6" s="21"/>
      <c r="F6" s="22"/>
      <c r="G6" s="27"/>
      <c r="H6" s="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 t="s">
        <v>10</v>
      </c>
      <c r="C7" s="19"/>
      <c r="D7" s="20"/>
      <c r="E7" s="21"/>
      <c r="F7" s="29"/>
      <c r="G7" s="27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5" t="s">
        <v>0</v>
      </c>
      <c r="C10" s="19"/>
      <c r="D10" s="26"/>
      <c r="E10" s="26"/>
      <c r="F10" s="26"/>
      <c r="G10" s="19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8"/>
      <c r="C11" s="19"/>
      <c r="D11" s="19"/>
      <c r="E11" s="26"/>
      <c r="F11" s="19"/>
      <c r="G11" s="26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8"/>
      <c r="C12" s="41"/>
      <c r="D12" s="19"/>
      <c r="E12" s="26"/>
      <c r="F12" s="19"/>
      <c r="G12" s="26"/>
      <c r="H12" s="2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8"/>
      <c r="C13" s="19"/>
      <c r="D13" s="19"/>
      <c r="E13" s="26"/>
      <c r="F13" s="19"/>
      <c r="G13" s="26"/>
      <c r="H13" s="2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6"/>
      <c r="C14" s="19"/>
      <c r="D14" s="19"/>
      <c r="E14" s="26"/>
      <c r="F14" s="19"/>
      <c r="G14" s="26"/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0" t="s">
        <v>1</v>
      </c>
      <c r="C15" s="52"/>
      <c r="D15" s="53"/>
      <c r="E15" s="53"/>
      <c r="F15" s="53"/>
      <c r="G15" s="53"/>
      <c r="H15" s="5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8"/>
      <c r="C16" s="52"/>
      <c r="D16" s="52"/>
      <c r="E16" s="52"/>
      <c r="F16" s="53"/>
      <c r="G16" s="53"/>
      <c r="H16" s="5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8"/>
      <c r="C17" s="54"/>
      <c r="D17" s="52"/>
      <c r="E17" s="52"/>
      <c r="F17" s="53"/>
      <c r="G17" s="53"/>
      <c r="H17" s="5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8"/>
      <c r="C18" s="52"/>
      <c r="D18" s="52"/>
      <c r="E18" s="53"/>
      <c r="F18" s="52"/>
      <c r="G18" s="52"/>
      <c r="H18" s="5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6"/>
      <c r="C19" s="52"/>
      <c r="D19" s="52"/>
      <c r="E19" s="52"/>
      <c r="F19" s="53"/>
      <c r="G19" s="53"/>
      <c r="H19" s="5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1" t="s">
        <v>2</v>
      </c>
      <c r="C20" s="21"/>
      <c r="D20" s="64"/>
      <c r="E20" s="64"/>
      <c r="F20" s="64"/>
      <c r="G20" s="21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8"/>
      <c r="C21" s="21"/>
      <c r="D21" s="21"/>
      <c r="E21" s="21"/>
      <c r="F21" s="21"/>
      <c r="G21" s="64"/>
      <c r="H21" s="6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8"/>
      <c r="C22" s="67"/>
      <c r="D22" s="64"/>
      <c r="E22" s="21"/>
      <c r="F22" s="21"/>
      <c r="G22" s="64"/>
      <c r="H22" s="6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8"/>
      <c r="C23" s="21"/>
      <c r="D23" s="64"/>
      <c r="E23" s="64"/>
      <c r="F23" s="21"/>
      <c r="G23" s="64"/>
      <c r="H23" s="6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6"/>
      <c r="C24" s="21"/>
      <c r="D24" s="21"/>
      <c r="E24" s="64"/>
      <c r="F24" s="64"/>
      <c r="G24" s="64"/>
      <c r="H24" s="6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72" t="s">
        <v>3</v>
      </c>
      <c r="C25" s="22"/>
      <c r="D25" s="29"/>
      <c r="E25" s="29"/>
      <c r="F25" s="29"/>
      <c r="G25" s="22"/>
      <c r="H25" s="2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8"/>
      <c r="C26" s="22"/>
      <c r="D26" s="22"/>
      <c r="E26" s="22"/>
      <c r="F26" s="22"/>
      <c r="G26" s="29"/>
      <c r="H26" s="2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8"/>
      <c r="C27" s="79"/>
      <c r="D27" s="29"/>
      <c r="E27" s="22"/>
      <c r="F27" s="29"/>
      <c r="G27" s="29"/>
      <c r="H27" s="2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8"/>
      <c r="C28" s="22"/>
      <c r="D28" s="22"/>
      <c r="E28" s="29"/>
      <c r="F28" s="22"/>
      <c r="G28" s="29"/>
      <c r="H28" s="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6"/>
      <c r="C29" s="22"/>
      <c r="D29" s="22"/>
      <c r="E29" s="29"/>
      <c r="F29" s="22"/>
      <c r="G29" s="29"/>
      <c r="H29" s="2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7" t="s">
        <v>4</v>
      </c>
      <c r="C30" s="88"/>
      <c r="D30" s="89"/>
      <c r="E30" s="89"/>
      <c r="F30" s="89"/>
      <c r="G30" s="89"/>
      <c r="H30" s="8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8"/>
      <c r="C31" s="88"/>
      <c r="D31" s="88"/>
      <c r="E31" s="89"/>
      <c r="F31" s="89"/>
      <c r="G31" s="89"/>
      <c r="H31" s="8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38"/>
      <c r="C32" s="92"/>
      <c r="D32" s="89"/>
      <c r="E32" s="89"/>
      <c r="F32" s="88"/>
      <c r="G32" s="89"/>
      <c r="H32" s="8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38"/>
      <c r="C33" s="88"/>
      <c r="D33" s="89"/>
      <c r="E33" s="89"/>
      <c r="F33" s="88"/>
      <c r="G33" s="89"/>
      <c r="H33" s="8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6"/>
      <c r="C34" s="88"/>
      <c r="D34" s="88"/>
      <c r="E34" s="88"/>
      <c r="F34" s="89"/>
      <c r="G34" s="89"/>
      <c r="H34" s="8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6" t="s">
        <v>5</v>
      </c>
      <c r="C35" s="24"/>
      <c r="D35" s="24"/>
      <c r="E35" s="24"/>
      <c r="F35" s="24"/>
      <c r="G35" s="24"/>
      <c r="H35" s="2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38"/>
      <c r="C36" s="24"/>
      <c r="D36" s="28"/>
      <c r="E36" s="24"/>
      <c r="F36" s="28"/>
      <c r="G36" s="28"/>
      <c r="H36" s="2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8"/>
      <c r="C37" s="102"/>
      <c r="D37" s="28"/>
      <c r="E37" s="28"/>
      <c r="F37" s="24"/>
      <c r="G37" s="28"/>
      <c r="H37" s="2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8"/>
      <c r="C38" s="24"/>
      <c r="D38" s="28"/>
      <c r="E38" s="28"/>
      <c r="F38" s="28"/>
      <c r="G38" s="28"/>
      <c r="H38" s="2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6"/>
      <c r="C39" s="24"/>
      <c r="D39" s="28"/>
      <c r="E39" s="28"/>
      <c r="F39" s="28"/>
      <c r="G39" s="28"/>
      <c r="H39" s="2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11" t="s">
        <v>83</v>
      </c>
      <c r="C41" s="40"/>
      <c r="D41" s="18" t="s">
        <v>84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15" t="s">
        <v>86</v>
      </c>
      <c r="C42" s="18"/>
      <c r="D42" s="1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8"/>
      <c r="C43" s="18"/>
      <c r="D43" s="1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6"/>
      <c r="C44" s="121"/>
      <c r="D44" s="121"/>
      <c r="E44" s="1"/>
      <c r="F44" s="12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15" t="s">
        <v>94</v>
      </c>
      <c r="C45" s="124"/>
      <c r="D45" s="12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8"/>
      <c r="C46" s="126"/>
      <c r="D46" s="12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6"/>
      <c r="C47" s="121"/>
      <c r="D47" s="121"/>
      <c r="E47" s="1"/>
      <c r="F47" s="12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15" t="s">
        <v>99</v>
      </c>
      <c r="C48" s="18"/>
      <c r="D48" s="1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8"/>
      <c r="C49" s="18"/>
      <c r="D49" s="1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6"/>
      <c r="C50" s="18"/>
      <c r="D50" s="1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15" t="s">
        <v>103</v>
      </c>
      <c r="C51" s="18"/>
      <c r="D51" s="1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8"/>
      <c r="C52" s="121"/>
      <c r="D52" s="121"/>
      <c r="E52" s="1"/>
      <c r="F52" s="12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6"/>
      <c r="C53" s="121"/>
      <c r="D53" s="121"/>
      <c r="E53" s="1"/>
      <c r="F53" s="12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1">
    <mergeCell ref="B42:B44"/>
    <mergeCell ref="B45:B47"/>
    <mergeCell ref="B48:B50"/>
    <mergeCell ref="B51:B53"/>
    <mergeCell ref="B10:B14"/>
    <mergeCell ref="B15:B19"/>
    <mergeCell ref="B20:B24"/>
    <mergeCell ref="B25:B29"/>
    <mergeCell ref="B30:B34"/>
    <mergeCell ref="B35:B39"/>
    <mergeCell ref="B41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7.63"/>
    <col customWidth="1" min="2" max="3" width="20.13"/>
    <col customWidth="1" min="4" max="4" width="22.63"/>
    <col customWidth="1" min="5" max="5" width="15.13"/>
    <col customWidth="1" min="6" max="6" width="25.13"/>
    <col customWidth="1" min="7" max="7" width="20.13"/>
    <col customWidth="1" min="8" max="8" width="15.13"/>
    <col customWidth="1" min="9" max="9" width="15.38"/>
  </cols>
  <sheetData>
    <row r="1" ht="22.5" customHeight="1">
      <c r="A1" s="76" t="s">
        <v>26</v>
      </c>
      <c r="B1" s="76" t="s">
        <v>32</v>
      </c>
      <c r="C1" s="76" t="s">
        <v>34</v>
      </c>
      <c r="D1" s="82" t="s">
        <v>36</v>
      </c>
      <c r="E1" s="83" t="s">
        <v>38</v>
      </c>
      <c r="F1" s="76" t="s">
        <v>42</v>
      </c>
      <c r="G1" s="76" t="s">
        <v>45</v>
      </c>
      <c r="H1" s="76" t="s">
        <v>47</v>
      </c>
      <c r="I1" s="76" t="s">
        <v>49</v>
      </c>
      <c r="J1" s="76" t="s">
        <v>50</v>
      </c>
      <c r="K1" s="76" t="s">
        <v>52</v>
      </c>
      <c r="L1" s="93" t="s">
        <v>54</v>
      </c>
      <c r="M1" s="93" t="s">
        <v>55</v>
      </c>
      <c r="N1" s="93" t="s">
        <v>57</v>
      </c>
      <c r="O1" s="93" t="s">
        <v>59</v>
      </c>
    </row>
    <row r="2" ht="22.5" customHeight="1">
      <c r="A2" s="100" t="s">
        <v>14</v>
      </c>
      <c r="B2" s="105" t="b">
        <v>1</v>
      </c>
      <c r="C2" s="105" t="b">
        <v>1</v>
      </c>
      <c r="D2" s="109" t="b">
        <v>0</v>
      </c>
      <c r="E2" s="109" t="b">
        <v>0</v>
      </c>
      <c r="F2" s="105" t="b">
        <v>0</v>
      </c>
      <c r="G2" s="123" t="b">
        <v>0</v>
      </c>
      <c r="H2" s="123" t="b">
        <v>0</v>
      </c>
      <c r="I2" s="123" t="b">
        <v>0</v>
      </c>
      <c r="J2" s="123" t="b">
        <v>0</v>
      </c>
      <c r="K2" s="127" t="b">
        <v>0</v>
      </c>
      <c r="L2" s="128"/>
      <c r="M2" s="129"/>
      <c r="N2" s="129"/>
      <c r="O2" s="129"/>
    </row>
    <row r="3" ht="22.5" customHeight="1">
      <c r="A3" s="100" t="s">
        <v>16</v>
      </c>
      <c r="B3" s="134" t="b">
        <v>1</v>
      </c>
      <c r="C3" s="134" t="b">
        <v>0</v>
      </c>
      <c r="D3" s="135" t="b">
        <v>0</v>
      </c>
      <c r="E3" s="135" t="b">
        <v>0</v>
      </c>
      <c r="F3" s="134" t="b">
        <v>0</v>
      </c>
      <c r="G3" s="134" t="b">
        <v>0</v>
      </c>
      <c r="H3" s="138" t="b">
        <v>0</v>
      </c>
      <c r="I3" s="138" t="b">
        <v>0</v>
      </c>
      <c r="J3" s="138" t="b">
        <v>0</v>
      </c>
      <c r="K3" s="142" t="b">
        <v>0</v>
      </c>
      <c r="L3" s="143"/>
      <c r="M3" s="145"/>
      <c r="N3" s="145"/>
      <c r="O3" s="145"/>
    </row>
    <row r="4" ht="22.5" customHeight="1">
      <c r="A4" s="153" t="s">
        <v>20</v>
      </c>
      <c r="B4" s="105" t="b">
        <v>1</v>
      </c>
      <c r="C4" s="105" t="b">
        <v>0</v>
      </c>
      <c r="D4" s="109" t="b">
        <v>0</v>
      </c>
      <c r="E4" s="156" t="b">
        <v>0</v>
      </c>
      <c r="F4" s="157" t="b">
        <v>0</v>
      </c>
      <c r="G4" s="123" t="b">
        <v>0</v>
      </c>
      <c r="H4" s="123" t="b">
        <v>0</v>
      </c>
      <c r="I4" s="123" t="b">
        <v>0</v>
      </c>
      <c r="J4" s="123" t="b">
        <v>0</v>
      </c>
      <c r="K4" s="127" t="b">
        <v>0</v>
      </c>
      <c r="L4" s="128"/>
      <c r="M4" s="145"/>
      <c r="N4" s="143"/>
      <c r="O4" s="145"/>
    </row>
    <row r="5" ht="22.5" customHeight="1">
      <c r="A5" s="161" t="s">
        <v>22</v>
      </c>
      <c r="B5" s="134" t="b">
        <v>1</v>
      </c>
      <c r="C5" s="134" t="b">
        <v>0</v>
      </c>
      <c r="D5" s="135" t="b">
        <v>0</v>
      </c>
      <c r="E5" s="135" t="b">
        <v>0</v>
      </c>
      <c r="F5" s="134" t="b">
        <v>0</v>
      </c>
      <c r="G5" s="134" t="b">
        <v>0</v>
      </c>
      <c r="H5" s="134" t="b">
        <v>0</v>
      </c>
      <c r="I5" s="134" t="b">
        <v>0</v>
      </c>
      <c r="J5" s="134" t="b">
        <v>0</v>
      </c>
      <c r="K5" s="164" t="b">
        <v>0</v>
      </c>
      <c r="L5" s="143"/>
      <c r="M5" s="145"/>
      <c r="N5" s="145"/>
      <c r="O5" s="145"/>
    </row>
    <row r="6" ht="22.5" customHeight="1">
      <c r="A6" s="167" t="s">
        <v>144</v>
      </c>
      <c r="B6" s="169" t="b">
        <v>1</v>
      </c>
      <c r="C6" s="169" t="b">
        <v>0</v>
      </c>
      <c r="D6" s="109" t="b">
        <v>0</v>
      </c>
      <c r="E6" s="109" t="b">
        <v>0</v>
      </c>
      <c r="F6" s="105" t="b">
        <v>0</v>
      </c>
      <c r="G6" s="105" t="b">
        <v>0</v>
      </c>
      <c r="H6" s="105" t="b">
        <v>0</v>
      </c>
      <c r="I6" s="105" t="b">
        <v>0</v>
      </c>
      <c r="J6" s="123" t="b">
        <v>0</v>
      </c>
      <c r="K6" s="127" t="b">
        <v>0</v>
      </c>
      <c r="L6" s="128"/>
      <c r="M6" s="145"/>
      <c r="N6" s="145"/>
      <c r="O6" s="145"/>
    </row>
    <row r="7" ht="22.5" customHeight="1">
      <c r="A7" s="178" t="s">
        <v>147</v>
      </c>
      <c r="B7" s="180" t="b">
        <v>0</v>
      </c>
      <c r="C7" s="180" t="b">
        <v>0</v>
      </c>
      <c r="D7" s="135" t="b">
        <v>0</v>
      </c>
      <c r="E7" s="135" t="b">
        <v>0</v>
      </c>
      <c r="F7" s="134" t="b">
        <v>0</v>
      </c>
      <c r="G7" s="134" t="b">
        <v>0</v>
      </c>
      <c r="H7" s="134" t="b">
        <v>0</v>
      </c>
      <c r="I7" s="138" t="b">
        <v>0</v>
      </c>
      <c r="J7" s="138" t="b">
        <v>0</v>
      </c>
      <c r="K7" s="142" t="b">
        <v>0</v>
      </c>
      <c r="L7" s="143"/>
      <c r="M7" s="145"/>
      <c r="N7" s="145"/>
      <c r="O7" s="145"/>
    </row>
    <row r="8" ht="22.5" customHeight="1">
      <c r="A8" s="178" t="s">
        <v>33</v>
      </c>
      <c r="B8" s="169" t="b">
        <v>1</v>
      </c>
      <c r="C8" s="169" t="b">
        <v>0</v>
      </c>
      <c r="D8" s="109" t="b">
        <v>0</v>
      </c>
      <c r="E8" s="109" t="b">
        <v>0</v>
      </c>
      <c r="F8" s="105" t="b">
        <v>0</v>
      </c>
      <c r="G8" s="105" t="b">
        <v>0</v>
      </c>
      <c r="H8" s="105" t="b">
        <v>0</v>
      </c>
      <c r="I8" s="105" t="b">
        <v>0</v>
      </c>
      <c r="J8" s="105" t="b">
        <v>0</v>
      </c>
      <c r="K8" s="193" t="b">
        <v>0</v>
      </c>
      <c r="L8" s="128"/>
      <c r="M8" s="145"/>
      <c r="N8" s="145"/>
      <c r="O8" s="145"/>
    </row>
    <row r="9" ht="22.5" customHeight="1">
      <c r="A9" s="195" t="s">
        <v>72</v>
      </c>
      <c r="B9" s="180" t="b">
        <v>1</v>
      </c>
      <c r="C9" s="180" t="b">
        <v>0</v>
      </c>
      <c r="D9" s="135" t="b">
        <v>0</v>
      </c>
      <c r="E9" s="196" t="b">
        <v>0</v>
      </c>
      <c r="F9" s="197" t="b">
        <v>0</v>
      </c>
      <c r="G9" s="138" t="b">
        <v>0</v>
      </c>
      <c r="H9" s="138" t="b">
        <v>0</v>
      </c>
      <c r="I9" s="138" t="b">
        <v>0</v>
      </c>
      <c r="J9" s="138" t="b">
        <v>0</v>
      </c>
      <c r="K9" s="142" t="b">
        <v>0</v>
      </c>
      <c r="L9" s="143"/>
      <c r="M9" s="145"/>
      <c r="N9" s="145"/>
      <c r="O9" s="145"/>
    </row>
    <row r="10" ht="22.5" customHeight="1">
      <c r="A10" s="198" t="s">
        <v>162</v>
      </c>
      <c r="B10" s="169" t="b">
        <v>1</v>
      </c>
      <c r="C10" s="169" t="b">
        <v>0</v>
      </c>
      <c r="D10" s="109" t="b">
        <v>0</v>
      </c>
      <c r="E10" s="109" t="b">
        <v>0</v>
      </c>
      <c r="F10" s="105" t="b">
        <v>0</v>
      </c>
      <c r="G10" s="105" t="b">
        <v>0</v>
      </c>
      <c r="H10" s="105" t="b">
        <v>0</v>
      </c>
      <c r="I10" s="105" t="b">
        <v>0</v>
      </c>
      <c r="J10" s="123" t="b">
        <v>0</v>
      </c>
      <c r="K10" s="127" t="b">
        <v>0</v>
      </c>
      <c r="L10" s="128"/>
      <c r="M10" s="145"/>
      <c r="N10" s="145"/>
      <c r="O10" s="145"/>
    </row>
    <row r="11" ht="22.5" customHeight="1">
      <c r="A11" s="195" t="s">
        <v>82</v>
      </c>
      <c r="B11" s="180" t="b">
        <v>1</v>
      </c>
      <c r="C11" s="180" t="b">
        <v>0</v>
      </c>
      <c r="D11" s="135" t="b">
        <v>0</v>
      </c>
      <c r="E11" s="135" t="b">
        <v>0</v>
      </c>
      <c r="F11" s="134" t="b">
        <v>0</v>
      </c>
      <c r="G11" s="138" t="b">
        <v>0</v>
      </c>
      <c r="H11" s="138" t="b">
        <v>0</v>
      </c>
      <c r="I11" s="138" t="b">
        <v>0</v>
      </c>
      <c r="J11" s="138" t="b">
        <v>0</v>
      </c>
      <c r="K11" s="142" t="b">
        <v>0</v>
      </c>
      <c r="L11" s="143"/>
      <c r="M11" s="145"/>
      <c r="N11" s="145"/>
      <c r="O11" s="145"/>
    </row>
    <row r="12" ht="22.5" customHeight="1">
      <c r="A12" s="167" t="s">
        <v>171</v>
      </c>
      <c r="B12" s="169" t="b">
        <v>1</v>
      </c>
      <c r="C12" s="169" t="b">
        <v>0</v>
      </c>
      <c r="D12" s="109" t="b">
        <v>0</v>
      </c>
      <c r="E12" s="109" t="b">
        <v>0</v>
      </c>
      <c r="F12" s="105" t="b">
        <v>0</v>
      </c>
      <c r="G12" s="105" t="b">
        <v>0</v>
      </c>
      <c r="H12" s="105" t="b">
        <v>0</v>
      </c>
      <c r="I12" s="105" t="b">
        <v>0</v>
      </c>
      <c r="J12" s="105" t="b">
        <v>0</v>
      </c>
      <c r="K12" s="193" t="b">
        <v>0</v>
      </c>
      <c r="L12" s="128"/>
      <c r="M12" s="145"/>
      <c r="N12" s="145"/>
      <c r="O12" s="145"/>
    </row>
    <row r="13" ht="22.5" customHeight="1">
      <c r="A13" s="212" t="s">
        <v>174</v>
      </c>
      <c r="B13" s="180" t="b">
        <v>1</v>
      </c>
      <c r="C13" s="180" t="b">
        <v>0</v>
      </c>
      <c r="D13" s="135" t="b">
        <v>0</v>
      </c>
      <c r="E13" s="135" t="b">
        <v>0</v>
      </c>
      <c r="F13" s="134" t="b">
        <v>0</v>
      </c>
      <c r="G13" s="134" t="b">
        <v>0</v>
      </c>
      <c r="H13" s="138" t="b">
        <v>0</v>
      </c>
      <c r="I13" s="138" t="b">
        <v>0</v>
      </c>
      <c r="J13" s="138" t="b">
        <v>0</v>
      </c>
      <c r="K13" s="142" t="b">
        <v>0</v>
      </c>
      <c r="L13" s="143"/>
      <c r="M13" s="145"/>
      <c r="N13" s="145"/>
      <c r="O13" s="145"/>
    </row>
    <row r="14" ht="22.5" customHeight="1">
      <c r="A14" s="212" t="s">
        <v>62</v>
      </c>
      <c r="B14" s="169" t="b">
        <v>1</v>
      </c>
      <c r="C14" s="169" t="b">
        <v>0</v>
      </c>
      <c r="D14" s="109" t="b">
        <v>0</v>
      </c>
      <c r="E14" s="109" t="b">
        <v>0</v>
      </c>
      <c r="F14" s="105" t="b">
        <v>0</v>
      </c>
      <c r="G14" s="105" t="b">
        <v>0</v>
      </c>
      <c r="H14" s="105" t="b">
        <v>0</v>
      </c>
      <c r="I14" s="123" t="b">
        <v>0</v>
      </c>
      <c r="J14" s="123" t="b">
        <v>0</v>
      </c>
      <c r="K14" s="127" t="b">
        <v>0</v>
      </c>
      <c r="L14" s="223"/>
      <c r="M14" s="145"/>
      <c r="N14" s="145"/>
      <c r="O14" s="145"/>
    </row>
    <row r="15" ht="22.5" customHeight="1">
      <c r="A15" s="167" t="s">
        <v>124</v>
      </c>
      <c r="B15" s="180" t="b">
        <v>1</v>
      </c>
      <c r="C15" s="180" t="b">
        <v>0</v>
      </c>
      <c r="D15" s="135" t="b">
        <v>0</v>
      </c>
      <c r="E15" s="135" t="b">
        <v>0</v>
      </c>
      <c r="F15" s="134" t="b">
        <v>0</v>
      </c>
      <c r="G15" s="134" t="b">
        <v>0</v>
      </c>
      <c r="H15" s="138" t="b">
        <v>0</v>
      </c>
      <c r="I15" s="138" t="b">
        <v>0</v>
      </c>
      <c r="J15" s="138" t="b">
        <v>0</v>
      </c>
      <c r="K15" s="142" t="b">
        <v>0</v>
      </c>
      <c r="L15" s="227"/>
      <c r="M15" s="145"/>
      <c r="N15" s="145"/>
      <c r="O15" s="145"/>
    </row>
    <row r="16" ht="22.5" customHeight="1">
      <c r="A16" s="195" t="s">
        <v>125</v>
      </c>
      <c r="B16" s="169" t="b">
        <v>1</v>
      </c>
      <c r="C16" s="230" t="b">
        <v>0</v>
      </c>
      <c r="D16" s="156" t="b">
        <v>0</v>
      </c>
      <c r="E16" s="156" t="b">
        <v>0</v>
      </c>
      <c r="F16" s="157" t="b">
        <v>0</v>
      </c>
      <c r="G16" s="123" t="b">
        <v>0</v>
      </c>
      <c r="H16" s="123" t="b">
        <v>0</v>
      </c>
      <c r="I16" s="123" t="b">
        <v>0</v>
      </c>
      <c r="J16" s="123" t="b">
        <v>0</v>
      </c>
      <c r="K16" s="127" t="b">
        <v>0</v>
      </c>
      <c r="L16" s="223"/>
      <c r="M16" s="145"/>
      <c r="N16" s="145"/>
      <c r="O16" s="145"/>
    </row>
    <row r="17" ht="22.5" customHeight="1">
      <c r="A17" s="167" t="s">
        <v>191</v>
      </c>
      <c r="B17" s="180" t="b">
        <v>1</v>
      </c>
      <c r="C17" s="180" t="b">
        <v>0</v>
      </c>
      <c r="D17" s="135" t="b">
        <v>0</v>
      </c>
      <c r="E17" s="135" t="b">
        <v>0</v>
      </c>
      <c r="F17" s="134" t="b">
        <v>0</v>
      </c>
      <c r="G17" s="134" t="b">
        <v>0</v>
      </c>
      <c r="H17" s="134" t="b">
        <v>0</v>
      </c>
      <c r="I17" s="134" t="b">
        <v>0</v>
      </c>
      <c r="J17" s="134" t="b">
        <v>0</v>
      </c>
      <c r="K17" s="164" t="b">
        <v>0</v>
      </c>
      <c r="L17" s="227"/>
      <c r="M17" s="145"/>
      <c r="N17" s="145"/>
      <c r="O17" s="145"/>
    </row>
    <row r="18" ht="22.5" customHeight="1">
      <c r="A18" s="195" t="s">
        <v>196</v>
      </c>
      <c r="B18" s="169" t="b">
        <v>1</v>
      </c>
      <c r="C18" s="169" t="b">
        <v>1</v>
      </c>
      <c r="D18" s="109" t="b">
        <v>0</v>
      </c>
      <c r="E18" s="109" t="b">
        <v>0</v>
      </c>
      <c r="F18" s="105" t="b">
        <v>0</v>
      </c>
      <c r="G18" s="105" t="b">
        <v>0</v>
      </c>
      <c r="H18" s="105" t="b">
        <v>0</v>
      </c>
      <c r="I18" s="105" t="b">
        <v>0</v>
      </c>
      <c r="J18" s="105" t="b">
        <v>0</v>
      </c>
      <c r="K18" s="193" t="b">
        <v>0</v>
      </c>
      <c r="L18" s="223"/>
      <c r="M18" s="145"/>
      <c r="N18" s="145"/>
      <c r="O18" s="145"/>
    </row>
    <row r="19" ht="22.5" customHeight="1">
      <c r="A19" s="198" t="s">
        <v>203</v>
      </c>
      <c r="B19" s="180" t="b">
        <v>1</v>
      </c>
      <c r="C19" s="180" t="b">
        <v>0</v>
      </c>
      <c r="D19" s="135" t="b">
        <v>0</v>
      </c>
      <c r="E19" s="135" t="b">
        <v>0</v>
      </c>
      <c r="F19" s="134" t="b">
        <v>0</v>
      </c>
      <c r="G19" s="134" t="b">
        <v>0</v>
      </c>
      <c r="H19" s="134" t="b">
        <v>0</v>
      </c>
      <c r="I19" s="134" t="b">
        <v>0</v>
      </c>
      <c r="J19" s="134" t="b">
        <v>0</v>
      </c>
      <c r="K19" s="164" t="b">
        <v>0</v>
      </c>
      <c r="L19" s="227"/>
      <c r="M19" s="145"/>
      <c r="N19" s="145"/>
      <c r="O19" s="145"/>
    </row>
    <row r="20" ht="22.5" customHeight="1">
      <c r="A20" s="195" t="s">
        <v>212</v>
      </c>
      <c r="B20" s="169" t="b">
        <v>1</v>
      </c>
      <c r="C20" s="169" t="b">
        <v>1</v>
      </c>
      <c r="D20" s="109" t="b">
        <v>1</v>
      </c>
      <c r="E20" s="109" t="b">
        <v>0</v>
      </c>
      <c r="F20" s="105" t="b">
        <v>0</v>
      </c>
      <c r="G20" s="105" t="b">
        <v>0</v>
      </c>
      <c r="H20" s="105" t="b">
        <v>0</v>
      </c>
      <c r="I20" s="105" t="b">
        <v>0</v>
      </c>
      <c r="J20" s="105" t="b">
        <v>0</v>
      </c>
      <c r="K20" s="193" t="b">
        <v>0</v>
      </c>
      <c r="L20" s="223"/>
      <c r="M20" s="145"/>
      <c r="N20" s="145"/>
      <c r="O20" s="145"/>
    </row>
    <row r="21" ht="22.5" customHeight="1">
      <c r="A21" s="178" t="s">
        <v>105</v>
      </c>
      <c r="B21" s="180" t="b">
        <v>1</v>
      </c>
      <c r="C21" s="180" t="b">
        <v>1</v>
      </c>
      <c r="D21" s="135" t="b">
        <v>0</v>
      </c>
      <c r="E21" s="135" t="b">
        <v>0</v>
      </c>
      <c r="F21" s="134" t="b">
        <v>0</v>
      </c>
      <c r="G21" s="134" t="b">
        <v>0</v>
      </c>
      <c r="H21" s="134" t="b">
        <v>0</v>
      </c>
      <c r="I21" s="134" t="b">
        <v>0</v>
      </c>
      <c r="J21" s="134" t="b">
        <v>0</v>
      </c>
      <c r="K21" s="164" t="b">
        <v>0</v>
      </c>
      <c r="L21" s="227"/>
      <c r="M21" s="145"/>
      <c r="N21" s="145"/>
      <c r="O21" s="145"/>
    </row>
    <row r="22" ht="22.5" customHeight="1">
      <c r="A22" s="195"/>
      <c r="B22" s="257" t="b">
        <v>0</v>
      </c>
      <c r="C22" s="257" t="b">
        <v>0</v>
      </c>
      <c r="D22" s="258" t="b">
        <v>0</v>
      </c>
      <c r="E22" s="258" t="b">
        <v>0</v>
      </c>
      <c r="F22" s="260" t="b">
        <v>0</v>
      </c>
      <c r="G22" s="260" t="b">
        <v>0</v>
      </c>
      <c r="H22" s="260" t="b">
        <v>0</v>
      </c>
      <c r="I22" s="260" t="b">
        <v>0</v>
      </c>
      <c r="J22" s="260" t="b">
        <v>0</v>
      </c>
      <c r="K22" s="262" t="b">
        <v>0</v>
      </c>
      <c r="L22" s="223"/>
      <c r="M22" s="145"/>
      <c r="N22" s="145"/>
      <c r="O22" s="145"/>
    </row>
    <row r="23" ht="22.5" customHeight="1">
      <c r="A23" s="267"/>
      <c r="B23" s="223"/>
      <c r="C23" s="223"/>
      <c r="D23" s="271" t="s">
        <v>231</v>
      </c>
      <c r="E23" s="271" t="s">
        <v>231</v>
      </c>
      <c r="F23" s="223" t="s">
        <v>231</v>
      </c>
      <c r="G23" s="223"/>
      <c r="H23" s="223"/>
      <c r="I23" s="223"/>
      <c r="J23" s="223"/>
      <c r="K23" s="223"/>
      <c r="L23" s="223"/>
      <c r="M23" s="145"/>
      <c r="N23" s="145"/>
      <c r="O23" s="145"/>
    </row>
    <row r="24">
      <c r="A24" s="276"/>
      <c r="B24" s="276"/>
      <c r="C24" s="276"/>
      <c r="D24" s="277"/>
      <c r="E24" s="277"/>
      <c r="F24" s="276"/>
      <c r="G24" s="276"/>
      <c r="H24" s="276"/>
    </row>
    <row r="25">
      <c r="B25" s="276"/>
      <c r="C25" s="276"/>
      <c r="D25" s="277"/>
      <c r="E25" s="277"/>
      <c r="F25" s="276"/>
      <c r="G25" s="276"/>
      <c r="H25" s="276"/>
    </row>
    <row r="26">
      <c r="A26" s="276"/>
      <c r="B26" s="276"/>
      <c r="C26" s="276"/>
      <c r="D26" s="277"/>
      <c r="E26" s="277"/>
      <c r="F26" s="276"/>
      <c r="G26" s="276"/>
      <c r="H26" s="276"/>
    </row>
    <row r="27">
      <c r="A27" s="276"/>
      <c r="B27" s="276"/>
      <c r="C27" s="276"/>
      <c r="D27" s="277"/>
      <c r="E27" s="277"/>
      <c r="F27" s="276"/>
      <c r="G27" s="276"/>
      <c r="H27" s="276"/>
    </row>
    <row r="28">
      <c r="A28" s="276"/>
      <c r="B28" s="276"/>
      <c r="C28" s="276"/>
      <c r="D28" s="277"/>
      <c r="E28" s="277"/>
      <c r="F28" s="276"/>
      <c r="G28" s="276"/>
      <c r="H28" s="276"/>
    </row>
    <row r="29">
      <c r="A29" s="276"/>
      <c r="B29" s="276"/>
      <c r="C29" s="276"/>
      <c r="D29" s="277"/>
      <c r="E29" s="277"/>
      <c r="F29" s="276"/>
      <c r="G29" s="276"/>
      <c r="H29" s="276"/>
    </row>
    <row r="30">
      <c r="A30" s="276"/>
      <c r="B30" s="276"/>
      <c r="C30" s="276"/>
      <c r="D30" s="277"/>
      <c r="E30" s="277"/>
      <c r="F30" s="276"/>
      <c r="G30" s="276"/>
      <c r="H30" s="276"/>
    </row>
    <row r="31">
      <c r="A31" s="276"/>
      <c r="B31" s="276"/>
      <c r="C31" s="276"/>
      <c r="D31" s="277"/>
      <c r="E31" s="277"/>
      <c r="F31" s="276"/>
      <c r="G31" s="276"/>
      <c r="H31" s="276"/>
    </row>
    <row r="32">
      <c r="A32" s="276"/>
      <c r="B32" s="276"/>
      <c r="C32" s="276"/>
      <c r="D32" s="277"/>
      <c r="E32" s="277"/>
      <c r="F32" s="276"/>
      <c r="G32" s="276"/>
      <c r="H32" s="276"/>
    </row>
    <row r="33">
      <c r="A33" s="276"/>
      <c r="B33" s="276"/>
      <c r="C33" s="276"/>
      <c r="D33" s="277"/>
      <c r="E33" s="277"/>
      <c r="F33" s="276"/>
      <c r="G33" s="276"/>
      <c r="H33" s="276"/>
    </row>
    <row r="34">
      <c r="A34" s="276"/>
      <c r="B34" s="276"/>
      <c r="C34" s="276"/>
      <c r="D34" s="277"/>
      <c r="E34" s="277"/>
      <c r="F34" s="276"/>
      <c r="G34" s="276"/>
      <c r="H34" s="276"/>
    </row>
    <row r="35">
      <c r="A35" s="276"/>
      <c r="B35" s="276"/>
      <c r="C35" s="276"/>
      <c r="D35" s="277"/>
      <c r="E35" s="277"/>
      <c r="F35" s="276"/>
      <c r="G35" s="276"/>
      <c r="H35" s="276"/>
    </row>
    <row r="36">
      <c r="A36" s="276"/>
      <c r="B36" s="276"/>
      <c r="C36" s="276"/>
      <c r="D36" s="277"/>
      <c r="E36" s="277"/>
      <c r="F36" s="276"/>
      <c r="G36" s="276"/>
      <c r="H36" s="276"/>
    </row>
    <row r="37">
      <c r="A37" s="276"/>
      <c r="B37" s="276"/>
      <c r="C37" s="276"/>
      <c r="D37" s="277"/>
      <c r="E37" s="277"/>
      <c r="F37" s="276"/>
      <c r="G37" s="276"/>
      <c r="H37" s="276"/>
    </row>
    <row r="38">
      <c r="A38" s="276"/>
      <c r="B38" s="276"/>
      <c r="C38" s="276"/>
      <c r="D38" s="277"/>
      <c r="E38" s="277"/>
      <c r="F38" s="276"/>
      <c r="G38" s="276"/>
      <c r="H38" s="276"/>
      <c r="K38" s="276"/>
    </row>
    <row r="39">
      <c r="A39" s="276"/>
      <c r="B39" s="276"/>
      <c r="C39" s="276"/>
      <c r="D39" s="277"/>
      <c r="E39" s="277"/>
      <c r="F39" s="276"/>
      <c r="G39" s="276"/>
      <c r="H39" s="276"/>
    </row>
    <row r="40">
      <c r="A40" s="276"/>
      <c r="B40" s="276"/>
      <c r="C40" s="276"/>
      <c r="D40" s="277"/>
      <c r="E40" s="277"/>
      <c r="F40" s="276"/>
      <c r="G40" s="276"/>
      <c r="H40" s="276"/>
    </row>
    <row r="41">
      <c r="A41" s="276"/>
      <c r="B41" s="276"/>
      <c r="C41" s="276"/>
      <c r="D41" s="277"/>
      <c r="E41" s="277"/>
      <c r="F41" s="276"/>
      <c r="G41" s="276"/>
      <c r="H41" s="276"/>
    </row>
    <row r="42">
      <c r="A42" s="276"/>
      <c r="B42" s="276"/>
      <c r="C42" s="276"/>
      <c r="D42" s="277"/>
      <c r="E42" s="277"/>
      <c r="F42" s="276"/>
      <c r="G42" s="276"/>
      <c r="H42" s="276"/>
    </row>
    <row r="43">
      <c r="A43" s="276"/>
      <c r="B43" s="276"/>
      <c r="C43" s="276"/>
      <c r="D43" s="277"/>
      <c r="E43" s="277"/>
      <c r="F43" s="276"/>
      <c r="G43" s="276"/>
      <c r="H43" s="276"/>
    </row>
    <row r="44">
      <c r="A44" s="276"/>
      <c r="B44" s="276"/>
      <c r="C44" s="276"/>
      <c r="D44" s="277"/>
      <c r="E44" s="277"/>
      <c r="F44" s="276"/>
      <c r="G44" s="276"/>
      <c r="H44" s="276"/>
    </row>
    <row r="45">
      <c r="A45" s="276"/>
      <c r="B45" s="276"/>
      <c r="C45" s="276"/>
      <c r="D45" s="277"/>
      <c r="E45" s="277"/>
      <c r="F45" s="276"/>
      <c r="G45" s="276"/>
      <c r="H45" s="276"/>
    </row>
    <row r="46">
      <c r="A46" s="276"/>
      <c r="B46" s="276"/>
      <c r="C46" s="276"/>
      <c r="D46" s="277"/>
      <c r="E46" s="277"/>
      <c r="F46" s="276"/>
      <c r="G46" s="276"/>
      <c r="H46" s="276"/>
    </row>
    <row r="47">
      <c r="A47" s="276"/>
      <c r="B47" s="276"/>
      <c r="C47" s="276"/>
      <c r="D47" s="277"/>
      <c r="E47" s="277"/>
      <c r="F47" s="276"/>
      <c r="G47" s="276"/>
      <c r="H47" s="276"/>
    </row>
    <row r="48">
      <c r="A48" s="276"/>
      <c r="B48" s="276"/>
      <c r="C48" s="276"/>
      <c r="D48" s="277"/>
      <c r="E48" s="277"/>
      <c r="F48" s="276"/>
      <c r="G48" s="276"/>
      <c r="H48" s="276"/>
    </row>
    <row r="49">
      <c r="A49" s="276"/>
      <c r="B49" s="276"/>
      <c r="C49" s="276"/>
      <c r="D49" s="277"/>
      <c r="E49" s="277"/>
      <c r="F49" s="276"/>
      <c r="G49" s="276"/>
      <c r="H49" s="276"/>
    </row>
    <row r="50">
      <c r="A50" s="276"/>
      <c r="B50" s="276"/>
      <c r="C50" s="276"/>
      <c r="D50" s="277"/>
      <c r="E50" s="277"/>
      <c r="F50" s="276"/>
      <c r="G50" s="276"/>
      <c r="H50" s="276"/>
    </row>
    <row r="51">
      <c r="A51" s="276"/>
      <c r="B51" s="276"/>
      <c r="C51" s="276"/>
      <c r="D51" s="277"/>
      <c r="E51" s="277"/>
      <c r="F51" s="276"/>
      <c r="G51" s="276"/>
      <c r="H51" s="276"/>
    </row>
    <row r="52">
      <c r="A52" s="276"/>
      <c r="B52" s="276"/>
      <c r="C52" s="276"/>
      <c r="D52" s="277"/>
      <c r="E52" s="277"/>
      <c r="F52" s="276"/>
      <c r="G52" s="276"/>
      <c r="H52" s="276"/>
    </row>
    <row r="53">
      <c r="A53" s="276"/>
      <c r="B53" s="276"/>
      <c r="C53" s="276"/>
      <c r="D53" s="277"/>
      <c r="E53" s="277"/>
      <c r="F53" s="276"/>
      <c r="G53" s="276"/>
      <c r="H53" s="276"/>
    </row>
    <row r="54">
      <c r="A54" s="276"/>
      <c r="B54" s="276"/>
      <c r="C54" s="276"/>
      <c r="D54" s="277"/>
      <c r="E54" s="277"/>
      <c r="F54" s="276"/>
      <c r="G54" s="276"/>
      <c r="H54" s="276"/>
    </row>
    <row r="55">
      <c r="A55" s="276"/>
      <c r="B55" s="276"/>
      <c r="C55" s="276"/>
      <c r="D55" s="277"/>
      <c r="E55" s="277"/>
      <c r="F55" s="276"/>
      <c r="G55" s="276"/>
      <c r="H55" s="276"/>
    </row>
    <row r="56">
      <c r="A56" s="276"/>
      <c r="B56" s="276"/>
      <c r="C56" s="276"/>
      <c r="D56" s="277"/>
      <c r="E56" s="277"/>
      <c r="F56" s="276"/>
      <c r="G56" s="276"/>
      <c r="H56" s="276"/>
    </row>
    <row r="57">
      <c r="A57" s="276"/>
      <c r="B57" s="276"/>
      <c r="C57" s="276"/>
      <c r="D57" s="277"/>
      <c r="E57" s="277"/>
      <c r="F57" s="276"/>
      <c r="G57" s="276"/>
      <c r="H57" s="276"/>
    </row>
    <row r="58">
      <c r="A58" s="276"/>
      <c r="B58" s="276"/>
      <c r="C58" s="276"/>
      <c r="D58" s="277"/>
      <c r="E58" s="277"/>
      <c r="F58" s="276"/>
      <c r="G58" s="276"/>
      <c r="H58" s="276"/>
    </row>
    <row r="59">
      <c r="A59" s="276"/>
      <c r="B59" s="276"/>
      <c r="C59" s="276"/>
      <c r="D59" s="277"/>
      <c r="E59" s="277"/>
      <c r="F59" s="276"/>
      <c r="G59" s="276"/>
      <c r="H59" s="276"/>
    </row>
    <row r="60">
      <c r="A60" s="276"/>
      <c r="B60" s="276"/>
      <c r="C60" s="276"/>
      <c r="D60" s="277"/>
      <c r="E60" s="277"/>
      <c r="F60" s="276"/>
      <c r="G60" s="276"/>
      <c r="H60" s="276"/>
    </row>
    <row r="61">
      <c r="A61" s="276"/>
      <c r="B61" s="276"/>
      <c r="C61" s="276"/>
      <c r="D61" s="277"/>
      <c r="E61" s="277"/>
      <c r="F61" s="276"/>
      <c r="G61" s="276"/>
      <c r="H61" s="276"/>
    </row>
    <row r="62">
      <c r="A62" s="276"/>
      <c r="B62" s="276"/>
      <c r="C62" s="276"/>
      <c r="D62" s="277"/>
      <c r="E62" s="277"/>
      <c r="F62" s="276"/>
      <c r="G62" s="276"/>
      <c r="H62" s="276"/>
    </row>
    <row r="63">
      <c r="A63" s="276"/>
      <c r="B63" s="276"/>
      <c r="C63" s="276"/>
      <c r="D63" s="277"/>
      <c r="E63" s="277"/>
      <c r="F63" s="276"/>
      <c r="G63" s="276"/>
      <c r="H63" s="276"/>
    </row>
    <row r="64">
      <c r="A64" s="276"/>
      <c r="B64" s="276"/>
      <c r="C64" s="276"/>
      <c r="D64" s="277"/>
      <c r="E64" s="277"/>
      <c r="F64" s="276"/>
      <c r="G64" s="276"/>
      <c r="H64" s="276"/>
    </row>
    <row r="65">
      <c r="A65" s="276"/>
      <c r="B65" s="276"/>
      <c r="C65" s="276"/>
      <c r="D65" s="277"/>
      <c r="E65" s="277"/>
      <c r="F65" s="276"/>
      <c r="G65" s="276"/>
      <c r="H65" s="276"/>
    </row>
    <row r="66">
      <c r="A66" s="276"/>
      <c r="B66" s="276"/>
      <c r="C66" s="276"/>
      <c r="D66" s="277"/>
      <c r="E66" s="277"/>
      <c r="F66" s="276"/>
      <c r="G66" s="276"/>
      <c r="H66" s="276"/>
    </row>
    <row r="67">
      <c r="A67" s="276"/>
      <c r="B67" s="276"/>
      <c r="C67" s="276"/>
      <c r="D67" s="277"/>
      <c r="E67" s="277"/>
      <c r="F67" s="276"/>
      <c r="G67" s="276"/>
      <c r="H67" s="276"/>
    </row>
    <row r="68">
      <c r="A68" s="276"/>
      <c r="B68" s="276"/>
      <c r="C68" s="276"/>
      <c r="D68" s="277"/>
      <c r="E68" s="277"/>
      <c r="F68" s="276"/>
      <c r="G68" s="276"/>
      <c r="H68" s="276"/>
    </row>
    <row r="69">
      <c r="A69" s="276"/>
      <c r="B69" s="276"/>
      <c r="C69" s="276"/>
      <c r="D69" s="277"/>
      <c r="E69" s="277"/>
      <c r="F69" s="276"/>
      <c r="G69" s="276"/>
      <c r="H69" s="276"/>
    </row>
    <row r="70">
      <c r="A70" s="276"/>
      <c r="B70" s="276"/>
      <c r="C70" s="276"/>
      <c r="D70" s="277"/>
      <c r="E70" s="277"/>
      <c r="F70" s="276"/>
      <c r="G70" s="276"/>
      <c r="H70" s="276"/>
    </row>
    <row r="71">
      <c r="A71" s="276"/>
      <c r="B71" s="276"/>
      <c r="C71" s="276"/>
      <c r="D71" s="277"/>
      <c r="E71" s="277"/>
      <c r="F71" s="276"/>
      <c r="G71" s="276"/>
      <c r="H71" s="276"/>
    </row>
    <row r="72">
      <c r="A72" s="276"/>
      <c r="B72" s="276"/>
      <c r="C72" s="276"/>
      <c r="D72" s="277"/>
      <c r="E72" s="277"/>
      <c r="F72" s="276"/>
      <c r="G72" s="276"/>
      <c r="H72" s="276"/>
    </row>
    <row r="73">
      <c r="A73" s="276"/>
      <c r="B73" s="276"/>
      <c r="C73" s="276"/>
      <c r="D73" s="277"/>
      <c r="E73" s="277"/>
      <c r="F73" s="276"/>
      <c r="G73" s="276"/>
      <c r="H73" s="276"/>
    </row>
    <row r="74">
      <c r="A74" s="276"/>
      <c r="B74" s="276"/>
      <c r="C74" s="276"/>
      <c r="D74" s="277"/>
      <c r="E74" s="277"/>
      <c r="F74" s="276"/>
      <c r="G74" s="276"/>
      <c r="H74" s="276"/>
    </row>
    <row r="75">
      <c r="A75" s="276"/>
      <c r="B75" s="276"/>
      <c r="C75" s="276"/>
      <c r="D75" s="277"/>
      <c r="E75" s="277"/>
      <c r="F75" s="276"/>
      <c r="G75" s="276"/>
      <c r="H75" s="276"/>
    </row>
    <row r="76">
      <c r="A76" s="276"/>
      <c r="B76" s="276"/>
      <c r="C76" s="276"/>
      <c r="D76" s="277"/>
      <c r="E76" s="277"/>
      <c r="F76" s="276"/>
      <c r="G76" s="276"/>
      <c r="H76" s="276"/>
    </row>
    <row r="77">
      <c r="A77" s="276"/>
      <c r="B77" s="276"/>
      <c r="C77" s="276"/>
      <c r="D77" s="277"/>
      <c r="E77" s="277"/>
      <c r="F77" s="276"/>
      <c r="G77" s="276"/>
      <c r="H77" s="276"/>
    </row>
    <row r="78">
      <c r="A78" s="276"/>
      <c r="B78" s="276"/>
      <c r="C78" s="276"/>
      <c r="D78" s="277"/>
      <c r="E78" s="277"/>
      <c r="F78" s="276"/>
      <c r="G78" s="276"/>
      <c r="H78" s="276"/>
    </row>
    <row r="79">
      <c r="A79" s="276"/>
      <c r="B79" s="276"/>
      <c r="C79" s="276"/>
      <c r="D79" s="277"/>
      <c r="E79" s="277"/>
      <c r="F79" s="276"/>
      <c r="G79" s="276"/>
      <c r="H79" s="276"/>
    </row>
    <row r="80">
      <c r="A80" s="276"/>
      <c r="B80" s="276"/>
      <c r="C80" s="276"/>
      <c r="D80" s="277"/>
      <c r="E80" s="277"/>
      <c r="F80" s="276"/>
      <c r="G80" s="276"/>
      <c r="H80" s="276"/>
    </row>
    <row r="81">
      <c r="A81" s="276"/>
      <c r="B81" s="276"/>
      <c r="C81" s="276"/>
      <c r="D81" s="277"/>
      <c r="E81" s="277"/>
      <c r="F81" s="276"/>
      <c r="G81" s="276"/>
      <c r="H81" s="276"/>
    </row>
    <row r="82">
      <c r="A82" s="276"/>
      <c r="B82" s="276"/>
      <c r="C82" s="276"/>
      <c r="D82" s="277"/>
      <c r="E82" s="277"/>
      <c r="F82" s="276"/>
      <c r="G82" s="276"/>
      <c r="H82" s="276"/>
    </row>
    <row r="83">
      <c r="A83" s="276"/>
      <c r="B83" s="276"/>
      <c r="C83" s="276"/>
      <c r="D83" s="277"/>
      <c r="E83" s="277"/>
      <c r="F83" s="276"/>
      <c r="G83" s="276"/>
      <c r="H83" s="276"/>
    </row>
    <row r="84">
      <c r="A84" s="276"/>
      <c r="B84" s="276"/>
      <c r="C84" s="276"/>
      <c r="D84" s="277"/>
      <c r="E84" s="277"/>
      <c r="F84" s="276"/>
      <c r="G84" s="276"/>
      <c r="H84" s="276"/>
    </row>
    <row r="85">
      <c r="A85" s="276"/>
      <c r="B85" s="276"/>
      <c r="C85" s="276"/>
      <c r="D85" s="277"/>
      <c r="E85" s="277"/>
      <c r="F85" s="276"/>
      <c r="G85" s="276"/>
      <c r="H85" s="276"/>
    </row>
    <row r="86">
      <c r="A86" s="276"/>
      <c r="B86" s="276"/>
      <c r="C86" s="276"/>
      <c r="D86" s="277"/>
      <c r="E86" s="277"/>
      <c r="F86" s="276"/>
      <c r="G86" s="276"/>
      <c r="H86" s="276"/>
    </row>
    <row r="87">
      <c r="A87" s="276"/>
      <c r="B87" s="276"/>
      <c r="C87" s="276"/>
      <c r="D87" s="277"/>
      <c r="E87" s="277"/>
      <c r="F87" s="276"/>
      <c r="G87" s="276"/>
      <c r="H87" s="276"/>
    </row>
    <row r="88">
      <c r="A88" s="276"/>
      <c r="B88" s="276"/>
      <c r="C88" s="276"/>
      <c r="D88" s="277"/>
      <c r="E88" s="277"/>
      <c r="F88" s="276"/>
      <c r="G88" s="276"/>
      <c r="H88" s="276"/>
    </row>
    <row r="89">
      <c r="A89" s="276"/>
      <c r="B89" s="276"/>
      <c r="C89" s="276"/>
      <c r="D89" s="277"/>
      <c r="E89" s="277"/>
      <c r="F89" s="276"/>
      <c r="G89" s="276"/>
      <c r="H89" s="276"/>
    </row>
    <row r="90">
      <c r="A90" s="276"/>
      <c r="B90" s="276"/>
      <c r="C90" s="276"/>
      <c r="D90" s="277"/>
      <c r="E90" s="277"/>
      <c r="F90" s="276"/>
      <c r="G90" s="276"/>
      <c r="H90" s="276"/>
    </row>
    <row r="91">
      <c r="A91" s="276"/>
      <c r="B91" s="276"/>
      <c r="C91" s="276"/>
      <c r="D91" s="277"/>
      <c r="E91" s="277"/>
      <c r="F91" s="276"/>
      <c r="G91" s="276"/>
      <c r="H91" s="276"/>
    </row>
    <row r="92">
      <c r="A92" s="276"/>
      <c r="B92" s="276"/>
      <c r="C92" s="276"/>
      <c r="D92" s="277"/>
      <c r="E92" s="277"/>
      <c r="F92" s="276"/>
      <c r="G92" s="276"/>
      <c r="H92" s="276"/>
    </row>
    <row r="93">
      <c r="A93" s="276"/>
      <c r="B93" s="276"/>
      <c r="C93" s="276"/>
      <c r="D93" s="277"/>
      <c r="E93" s="277"/>
      <c r="F93" s="276"/>
      <c r="G93" s="276"/>
      <c r="H93" s="276"/>
    </row>
    <row r="94">
      <c r="A94" s="276"/>
      <c r="B94" s="276"/>
      <c r="C94" s="276"/>
      <c r="D94" s="277"/>
      <c r="E94" s="277"/>
      <c r="F94" s="276"/>
      <c r="G94" s="276"/>
      <c r="H94" s="276"/>
    </row>
    <row r="95">
      <c r="A95" s="276"/>
      <c r="B95" s="276"/>
      <c r="C95" s="276"/>
      <c r="D95" s="277"/>
      <c r="E95" s="277"/>
      <c r="F95" s="276"/>
      <c r="G95" s="276"/>
      <c r="H95" s="276"/>
    </row>
    <row r="96">
      <c r="A96" s="276"/>
      <c r="B96" s="276"/>
      <c r="C96" s="276"/>
      <c r="D96" s="277"/>
      <c r="E96" s="277"/>
      <c r="F96" s="276"/>
      <c r="G96" s="276"/>
      <c r="H96" s="276"/>
    </row>
    <row r="97">
      <c r="A97" s="276"/>
      <c r="B97" s="276"/>
      <c r="C97" s="276"/>
      <c r="D97" s="277"/>
      <c r="E97" s="277"/>
      <c r="F97" s="276"/>
      <c r="G97" s="276"/>
      <c r="H97" s="276"/>
    </row>
    <row r="98">
      <c r="A98" s="276"/>
      <c r="B98" s="276"/>
      <c r="C98" s="276"/>
      <c r="D98" s="277"/>
      <c r="E98" s="277"/>
      <c r="F98" s="276"/>
      <c r="G98" s="276"/>
      <c r="H98" s="276"/>
    </row>
    <row r="99">
      <c r="A99" s="276"/>
      <c r="B99" s="276"/>
      <c r="C99" s="276"/>
      <c r="D99" s="277"/>
      <c r="E99" s="277"/>
      <c r="F99" s="276"/>
      <c r="G99" s="276"/>
      <c r="H99" s="276"/>
    </row>
    <row r="100">
      <c r="A100" s="276"/>
      <c r="B100" s="276"/>
      <c r="C100" s="276"/>
      <c r="D100" s="277"/>
      <c r="E100" s="277"/>
      <c r="F100" s="276"/>
      <c r="G100" s="276"/>
      <c r="H100" s="276"/>
    </row>
    <row r="101">
      <c r="A101" s="276"/>
      <c r="B101" s="276"/>
      <c r="C101" s="276"/>
      <c r="D101" s="277"/>
      <c r="E101" s="277"/>
      <c r="F101" s="276"/>
      <c r="G101" s="276"/>
      <c r="H101" s="276"/>
    </row>
    <row r="102">
      <c r="A102" s="276"/>
      <c r="B102" s="276"/>
      <c r="C102" s="276"/>
      <c r="D102" s="277"/>
      <c r="E102" s="277"/>
      <c r="F102" s="276"/>
      <c r="G102" s="276"/>
      <c r="H102" s="276"/>
    </row>
    <row r="103">
      <c r="A103" s="276"/>
      <c r="B103" s="276"/>
      <c r="C103" s="276"/>
      <c r="D103" s="277"/>
      <c r="E103" s="277"/>
      <c r="F103" s="276"/>
      <c r="G103" s="276"/>
      <c r="H103" s="276"/>
    </row>
    <row r="104">
      <c r="A104" s="276"/>
      <c r="B104" s="276"/>
      <c r="C104" s="276"/>
      <c r="D104" s="277"/>
      <c r="E104" s="277"/>
      <c r="F104" s="276"/>
      <c r="G104" s="276"/>
      <c r="H104" s="276"/>
    </row>
    <row r="105">
      <c r="A105" s="276"/>
      <c r="B105" s="276"/>
      <c r="C105" s="276"/>
      <c r="D105" s="277"/>
      <c r="E105" s="277"/>
      <c r="F105" s="276"/>
      <c r="G105" s="276"/>
      <c r="H105" s="276"/>
    </row>
    <row r="106">
      <c r="A106" s="276"/>
      <c r="B106" s="276"/>
      <c r="C106" s="276"/>
      <c r="D106" s="277"/>
      <c r="E106" s="277"/>
      <c r="F106" s="276"/>
      <c r="G106" s="276"/>
      <c r="H106" s="276"/>
    </row>
    <row r="107">
      <c r="A107" s="276"/>
      <c r="B107" s="276"/>
      <c r="C107" s="276"/>
      <c r="D107" s="277"/>
      <c r="E107" s="277"/>
      <c r="F107" s="276"/>
      <c r="G107" s="276"/>
      <c r="H107" s="276"/>
    </row>
    <row r="108">
      <c r="A108" s="276"/>
      <c r="B108" s="276"/>
      <c r="C108" s="276"/>
      <c r="D108" s="277"/>
      <c r="E108" s="277"/>
      <c r="F108" s="276"/>
      <c r="G108" s="276"/>
      <c r="H108" s="276"/>
    </row>
    <row r="109">
      <c r="A109" s="276"/>
      <c r="B109" s="276"/>
      <c r="C109" s="276"/>
      <c r="D109" s="277"/>
      <c r="E109" s="277"/>
      <c r="F109" s="276"/>
      <c r="G109" s="276"/>
      <c r="H109" s="276"/>
    </row>
    <row r="110">
      <c r="A110" s="276"/>
      <c r="B110" s="276"/>
      <c r="C110" s="276"/>
      <c r="D110" s="277"/>
      <c r="E110" s="277"/>
      <c r="F110" s="276"/>
      <c r="G110" s="276"/>
      <c r="H110" s="276"/>
    </row>
    <row r="111">
      <c r="A111" s="276"/>
      <c r="B111" s="276"/>
      <c r="C111" s="276"/>
      <c r="D111" s="277"/>
      <c r="E111" s="277"/>
      <c r="F111" s="276"/>
      <c r="G111" s="276"/>
      <c r="H111" s="276"/>
    </row>
    <row r="112">
      <c r="A112" s="276"/>
      <c r="B112" s="276"/>
      <c r="C112" s="276"/>
      <c r="D112" s="277"/>
      <c r="E112" s="277"/>
      <c r="F112" s="276"/>
      <c r="G112" s="276"/>
      <c r="H112" s="276"/>
    </row>
    <row r="113">
      <c r="A113" s="276"/>
      <c r="B113" s="276"/>
      <c r="C113" s="276"/>
      <c r="D113" s="277"/>
      <c r="E113" s="277"/>
      <c r="F113" s="276"/>
      <c r="G113" s="276"/>
      <c r="H113" s="276"/>
    </row>
    <row r="114">
      <c r="A114" s="276"/>
      <c r="B114" s="276"/>
      <c r="C114" s="276"/>
      <c r="D114" s="277"/>
      <c r="E114" s="277"/>
      <c r="F114" s="276"/>
      <c r="G114" s="276"/>
      <c r="H114" s="276"/>
    </row>
    <row r="115">
      <c r="A115" s="276"/>
      <c r="B115" s="276"/>
      <c r="C115" s="276"/>
      <c r="D115" s="277"/>
      <c r="E115" s="277"/>
      <c r="F115" s="276"/>
      <c r="G115" s="276"/>
      <c r="H115" s="276"/>
    </row>
    <row r="116">
      <c r="A116" s="276"/>
      <c r="B116" s="276"/>
      <c r="C116" s="276"/>
      <c r="D116" s="277"/>
      <c r="E116" s="277"/>
      <c r="F116" s="276"/>
      <c r="G116" s="276"/>
      <c r="H116" s="276"/>
    </row>
    <row r="117">
      <c r="A117" s="276"/>
      <c r="B117" s="276"/>
      <c r="C117" s="276"/>
      <c r="D117" s="277"/>
      <c r="E117" s="277"/>
      <c r="F117" s="276"/>
      <c r="G117" s="276"/>
      <c r="H117" s="276"/>
    </row>
    <row r="118">
      <c r="A118" s="276"/>
      <c r="B118" s="276"/>
      <c r="C118" s="276"/>
      <c r="D118" s="277"/>
      <c r="E118" s="277"/>
      <c r="F118" s="276"/>
      <c r="G118" s="276"/>
      <c r="H118" s="276"/>
    </row>
    <row r="119">
      <c r="A119" s="276"/>
      <c r="B119" s="276"/>
      <c r="C119" s="276"/>
      <c r="D119" s="277"/>
      <c r="E119" s="277"/>
      <c r="F119" s="276"/>
      <c r="G119" s="276"/>
      <c r="H119" s="276"/>
    </row>
    <row r="120">
      <c r="A120" s="276"/>
      <c r="B120" s="276"/>
      <c r="C120" s="276"/>
      <c r="D120" s="277"/>
      <c r="E120" s="277"/>
      <c r="F120" s="276"/>
      <c r="G120" s="276"/>
      <c r="H120" s="276"/>
    </row>
    <row r="121">
      <c r="A121" s="276"/>
      <c r="B121" s="276"/>
      <c r="C121" s="276"/>
      <c r="D121" s="277"/>
      <c r="E121" s="277"/>
      <c r="F121" s="276"/>
      <c r="G121" s="276"/>
      <c r="H121" s="276"/>
    </row>
    <row r="122">
      <c r="A122" s="276"/>
      <c r="B122" s="276"/>
      <c r="C122" s="276"/>
      <c r="D122" s="277"/>
      <c r="E122" s="277"/>
      <c r="F122" s="276"/>
      <c r="G122" s="276"/>
      <c r="H122" s="276"/>
    </row>
    <row r="123">
      <c r="A123" s="276"/>
      <c r="B123" s="276"/>
      <c r="C123" s="276"/>
      <c r="D123" s="277"/>
      <c r="E123" s="277"/>
      <c r="F123" s="276"/>
      <c r="G123" s="276"/>
      <c r="H123" s="276"/>
    </row>
    <row r="124">
      <c r="A124" s="276"/>
      <c r="B124" s="276"/>
      <c r="C124" s="276"/>
      <c r="D124" s="277"/>
      <c r="E124" s="277"/>
      <c r="F124" s="276"/>
      <c r="G124" s="276"/>
      <c r="H124" s="276"/>
    </row>
    <row r="125">
      <c r="A125" s="276"/>
      <c r="B125" s="276"/>
      <c r="C125" s="276"/>
      <c r="D125" s="277"/>
      <c r="E125" s="277"/>
      <c r="F125" s="276"/>
      <c r="G125" s="276"/>
      <c r="H125" s="276"/>
    </row>
    <row r="126">
      <c r="A126" s="276"/>
      <c r="B126" s="276"/>
      <c r="C126" s="276"/>
      <c r="D126" s="277"/>
      <c r="E126" s="277"/>
      <c r="F126" s="276"/>
      <c r="G126" s="276"/>
      <c r="H126" s="276"/>
    </row>
    <row r="127">
      <c r="A127" s="276"/>
      <c r="B127" s="276"/>
      <c r="C127" s="276"/>
      <c r="D127" s="277"/>
      <c r="E127" s="277"/>
      <c r="F127" s="276"/>
      <c r="G127" s="276"/>
      <c r="H127" s="276"/>
    </row>
    <row r="128">
      <c r="A128" s="276"/>
      <c r="B128" s="276"/>
      <c r="C128" s="276"/>
      <c r="D128" s="277"/>
      <c r="E128" s="277"/>
      <c r="F128" s="276"/>
      <c r="G128" s="276"/>
      <c r="H128" s="276"/>
    </row>
    <row r="129">
      <c r="A129" s="276"/>
      <c r="B129" s="276"/>
      <c r="C129" s="276"/>
      <c r="D129" s="277"/>
      <c r="E129" s="277"/>
      <c r="F129" s="276"/>
      <c r="G129" s="276"/>
      <c r="H129" s="276"/>
    </row>
    <row r="130">
      <c r="A130" s="276"/>
      <c r="B130" s="276"/>
      <c r="C130" s="276"/>
      <c r="D130" s="277"/>
      <c r="E130" s="277"/>
      <c r="F130" s="276"/>
      <c r="G130" s="276"/>
      <c r="H130" s="276"/>
    </row>
    <row r="131">
      <c r="A131" s="276"/>
      <c r="B131" s="276"/>
      <c r="C131" s="276"/>
      <c r="D131" s="277"/>
      <c r="E131" s="277"/>
      <c r="F131" s="276"/>
      <c r="G131" s="276"/>
      <c r="H131" s="276"/>
    </row>
    <row r="132">
      <c r="A132" s="276"/>
      <c r="B132" s="276"/>
      <c r="C132" s="276"/>
      <c r="D132" s="277"/>
      <c r="E132" s="277"/>
      <c r="F132" s="276"/>
      <c r="G132" s="276"/>
      <c r="H132" s="276"/>
    </row>
    <row r="133">
      <c r="A133" s="276"/>
      <c r="B133" s="276"/>
      <c r="C133" s="276"/>
      <c r="D133" s="277"/>
      <c r="E133" s="277"/>
      <c r="F133" s="276"/>
      <c r="G133" s="276"/>
      <c r="H133" s="276"/>
    </row>
    <row r="134">
      <c r="A134" s="276"/>
      <c r="B134" s="276"/>
      <c r="C134" s="276"/>
      <c r="D134" s="277"/>
      <c r="E134" s="277"/>
      <c r="F134" s="276"/>
      <c r="G134" s="276"/>
      <c r="H134" s="276"/>
    </row>
    <row r="135">
      <c r="A135" s="276"/>
      <c r="B135" s="276"/>
      <c r="C135" s="276"/>
      <c r="D135" s="277"/>
      <c r="E135" s="277"/>
      <c r="F135" s="276"/>
      <c r="G135" s="276"/>
      <c r="H135" s="276"/>
    </row>
    <row r="136">
      <c r="A136" s="276"/>
      <c r="B136" s="276"/>
      <c r="C136" s="276"/>
      <c r="D136" s="277"/>
      <c r="E136" s="277"/>
      <c r="F136" s="276"/>
      <c r="G136" s="276"/>
      <c r="H136" s="276"/>
    </row>
    <row r="137">
      <c r="A137" s="276"/>
      <c r="B137" s="276"/>
      <c r="C137" s="276"/>
      <c r="D137" s="277"/>
      <c r="E137" s="277"/>
      <c r="F137" s="276"/>
      <c r="G137" s="276"/>
      <c r="H137" s="276"/>
    </row>
    <row r="138">
      <c r="A138" s="276"/>
      <c r="B138" s="276"/>
      <c r="C138" s="276"/>
      <c r="D138" s="277"/>
      <c r="E138" s="277"/>
      <c r="F138" s="276"/>
      <c r="G138" s="276"/>
      <c r="H138" s="276"/>
    </row>
    <row r="139">
      <c r="A139" s="276"/>
      <c r="B139" s="276"/>
      <c r="C139" s="276"/>
      <c r="D139" s="277"/>
      <c r="E139" s="277"/>
      <c r="F139" s="276"/>
      <c r="G139" s="276"/>
      <c r="H139" s="276"/>
    </row>
    <row r="140">
      <c r="A140" s="276"/>
      <c r="B140" s="276"/>
      <c r="C140" s="276"/>
      <c r="D140" s="277"/>
      <c r="E140" s="277"/>
      <c r="F140" s="276"/>
      <c r="G140" s="276"/>
      <c r="H140" s="276"/>
    </row>
    <row r="141">
      <c r="A141" s="276"/>
      <c r="B141" s="276"/>
      <c r="C141" s="276"/>
      <c r="D141" s="277"/>
      <c r="E141" s="277"/>
      <c r="F141" s="276"/>
      <c r="G141" s="276"/>
      <c r="H141" s="276"/>
    </row>
    <row r="142">
      <c r="A142" s="276"/>
      <c r="B142" s="276"/>
      <c r="C142" s="276"/>
      <c r="D142" s="277"/>
      <c r="E142" s="277"/>
      <c r="F142" s="276"/>
      <c r="G142" s="276"/>
      <c r="H142" s="276"/>
    </row>
    <row r="143">
      <c r="A143" s="276"/>
      <c r="B143" s="276"/>
      <c r="C143" s="276"/>
      <c r="D143" s="277"/>
      <c r="E143" s="277"/>
      <c r="F143" s="276"/>
      <c r="G143" s="276"/>
      <c r="H143" s="276"/>
    </row>
    <row r="144">
      <c r="A144" s="276"/>
      <c r="B144" s="276"/>
      <c r="C144" s="276"/>
      <c r="D144" s="277"/>
      <c r="E144" s="277"/>
      <c r="F144" s="276"/>
      <c r="G144" s="276"/>
      <c r="H144" s="276"/>
    </row>
    <row r="145">
      <c r="A145" s="276"/>
      <c r="B145" s="276"/>
      <c r="C145" s="276"/>
      <c r="D145" s="277"/>
      <c r="E145" s="277"/>
      <c r="F145" s="276"/>
      <c r="G145" s="276"/>
      <c r="H145" s="276"/>
    </row>
    <row r="146">
      <c r="A146" s="276"/>
      <c r="B146" s="276"/>
      <c r="C146" s="276"/>
      <c r="D146" s="277"/>
      <c r="E146" s="277"/>
      <c r="F146" s="276"/>
      <c r="G146" s="276"/>
      <c r="H146" s="276"/>
    </row>
    <row r="147">
      <c r="A147" s="276"/>
      <c r="B147" s="276"/>
      <c r="C147" s="276"/>
      <c r="D147" s="277"/>
      <c r="E147" s="277"/>
      <c r="F147" s="276"/>
      <c r="G147" s="276"/>
      <c r="H147" s="276"/>
    </row>
    <row r="148">
      <c r="A148" s="276"/>
      <c r="B148" s="276"/>
      <c r="C148" s="276"/>
      <c r="D148" s="277"/>
      <c r="E148" s="277"/>
      <c r="F148" s="276"/>
      <c r="G148" s="276"/>
      <c r="H148" s="276"/>
    </row>
    <row r="149">
      <c r="A149" s="276"/>
      <c r="B149" s="276"/>
      <c r="C149" s="276"/>
      <c r="D149" s="277"/>
      <c r="E149" s="277"/>
      <c r="F149" s="276"/>
      <c r="G149" s="276"/>
      <c r="H149" s="276"/>
    </row>
    <row r="150">
      <c r="A150" s="276"/>
      <c r="B150" s="276"/>
      <c r="C150" s="276"/>
      <c r="D150" s="277"/>
      <c r="E150" s="277"/>
      <c r="F150" s="276"/>
      <c r="G150" s="276"/>
      <c r="H150" s="276"/>
    </row>
    <row r="151">
      <c r="A151" s="276"/>
      <c r="B151" s="276"/>
      <c r="C151" s="276"/>
      <c r="D151" s="277"/>
      <c r="E151" s="277"/>
      <c r="F151" s="276"/>
      <c r="G151" s="276"/>
      <c r="H151" s="276"/>
    </row>
    <row r="152">
      <c r="A152" s="276"/>
      <c r="B152" s="276"/>
      <c r="C152" s="276"/>
      <c r="D152" s="277"/>
      <c r="E152" s="277"/>
      <c r="F152" s="276"/>
      <c r="G152" s="276"/>
      <c r="H152" s="276"/>
    </row>
    <row r="153">
      <c r="A153" s="276"/>
      <c r="B153" s="276"/>
      <c r="C153" s="276"/>
      <c r="D153" s="277"/>
      <c r="E153" s="277"/>
      <c r="F153" s="276"/>
      <c r="G153" s="276"/>
      <c r="H153" s="276"/>
    </row>
    <row r="154">
      <c r="A154" s="276"/>
      <c r="B154" s="276"/>
      <c r="C154" s="276"/>
      <c r="D154" s="277"/>
      <c r="E154" s="277"/>
      <c r="F154" s="276"/>
      <c r="G154" s="276"/>
      <c r="H154" s="276"/>
    </row>
    <row r="155">
      <c r="A155" s="276"/>
      <c r="B155" s="276"/>
      <c r="C155" s="276"/>
      <c r="D155" s="277"/>
      <c r="E155" s="277"/>
      <c r="F155" s="276"/>
      <c r="G155" s="276"/>
      <c r="H155" s="276"/>
    </row>
    <row r="156">
      <c r="A156" s="276"/>
      <c r="B156" s="276"/>
      <c r="C156" s="276"/>
      <c r="D156" s="277"/>
      <c r="E156" s="277"/>
      <c r="F156" s="276"/>
      <c r="G156" s="276"/>
      <c r="H156" s="276"/>
    </row>
    <row r="157">
      <c r="A157" s="276"/>
      <c r="B157" s="276"/>
      <c r="C157" s="276"/>
      <c r="D157" s="277"/>
      <c r="E157" s="277"/>
      <c r="F157" s="276"/>
      <c r="G157" s="276"/>
      <c r="H157" s="276"/>
    </row>
    <row r="158">
      <c r="A158" s="276"/>
      <c r="B158" s="276"/>
      <c r="C158" s="276"/>
      <c r="D158" s="277"/>
      <c r="E158" s="277"/>
      <c r="F158" s="276"/>
      <c r="G158" s="276"/>
      <c r="H158" s="276"/>
    </row>
    <row r="159">
      <c r="A159" s="276"/>
      <c r="B159" s="276"/>
      <c r="C159" s="276"/>
      <c r="D159" s="277"/>
      <c r="E159" s="277"/>
      <c r="F159" s="276"/>
      <c r="G159" s="276"/>
      <c r="H159" s="276"/>
    </row>
    <row r="160">
      <c r="A160" s="276"/>
      <c r="B160" s="276"/>
      <c r="C160" s="276"/>
      <c r="D160" s="277"/>
      <c r="E160" s="277"/>
      <c r="F160" s="276"/>
      <c r="G160" s="276"/>
      <c r="H160" s="276"/>
    </row>
    <row r="161">
      <c r="A161" s="276"/>
      <c r="B161" s="276"/>
      <c r="C161" s="276"/>
      <c r="D161" s="277"/>
      <c r="E161" s="277"/>
      <c r="F161" s="276"/>
      <c r="G161" s="276"/>
      <c r="H161" s="276"/>
    </row>
    <row r="162">
      <c r="A162" s="276"/>
      <c r="B162" s="276"/>
      <c r="C162" s="276"/>
      <c r="D162" s="277"/>
      <c r="E162" s="277"/>
      <c r="F162" s="276"/>
      <c r="G162" s="276"/>
      <c r="H162" s="276"/>
    </row>
    <row r="163">
      <c r="A163" s="276"/>
      <c r="B163" s="276"/>
      <c r="C163" s="276"/>
      <c r="D163" s="277"/>
      <c r="E163" s="277"/>
      <c r="F163" s="276"/>
      <c r="G163" s="276"/>
      <c r="H163" s="276"/>
    </row>
    <row r="164">
      <c r="A164" s="276"/>
      <c r="B164" s="276"/>
      <c r="C164" s="276"/>
      <c r="D164" s="277"/>
      <c r="E164" s="277"/>
      <c r="F164" s="276"/>
      <c r="G164" s="276"/>
      <c r="H164" s="276"/>
    </row>
    <row r="165">
      <c r="A165" s="276"/>
      <c r="B165" s="276"/>
      <c r="C165" s="276"/>
      <c r="D165" s="277"/>
      <c r="E165" s="277"/>
      <c r="F165" s="276"/>
      <c r="G165" s="276"/>
      <c r="H165" s="276"/>
    </row>
    <row r="166">
      <c r="A166" s="276"/>
      <c r="B166" s="276"/>
      <c r="C166" s="276"/>
      <c r="D166" s="277"/>
      <c r="E166" s="277"/>
      <c r="F166" s="276"/>
      <c r="G166" s="276"/>
      <c r="H166" s="276"/>
    </row>
    <row r="167">
      <c r="A167" s="276"/>
      <c r="B167" s="276"/>
      <c r="C167" s="276"/>
      <c r="D167" s="277"/>
      <c r="E167" s="277"/>
      <c r="F167" s="276"/>
      <c r="G167" s="276"/>
      <c r="H167" s="276"/>
    </row>
    <row r="168">
      <c r="A168" s="276"/>
      <c r="B168" s="276"/>
      <c r="C168" s="276"/>
      <c r="D168" s="277"/>
      <c r="E168" s="277"/>
      <c r="F168" s="276"/>
      <c r="G168" s="276"/>
      <c r="H168" s="276"/>
    </row>
    <row r="169">
      <c r="A169" s="276"/>
      <c r="B169" s="276"/>
      <c r="C169" s="276"/>
      <c r="D169" s="277"/>
      <c r="E169" s="277"/>
      <c r="F169" s="276"/>
      <c r="G169" s="276"/>
      <c r="H169" s="276"/>
    </row>
    <row r="170">
      <c r="A170" s="276"/>
      <c r="B170" s="276"/>
      <c r="C170" s="276"/>
      <c r="D170" s="277"/>
      <c r="E170" s="277"/>
      <c r="F170" s="276"/>
      <c r="G170" s="276"/>
      <c r="H170" s="276"/>
    </row>
    <row r="171">
      <c r="A171" s="276"/>
      <c r="B171" s="276"/>
      <c r="C171" s="276"/>
      <c r="D171" s="277"/>
      <c r="E171" s="277"/>
      <c r="F171" s="276"/>
      <c r="G171" s="276"/>
      <c r="H171" s="276"/>
    </row>
    <row r="172">
      <c r="A172" s="276"/>
      <c r="B172" s="276"/>
      <c r="C172" s="276"/>
      <c r="D172" s="277"/>
      <c r="E172" s="277"/>
      <c r="F172" s="276"/>
      <c r="G172" s="276"/>
      <c r="H172" s="276"/>
    </row>
    <row r="173">
      <c r="A173" s="276"/>
      <c r="B173" s="276"/>
      <c r="C173" s="276"/>
      <c r="D173" s="277"/>
      <c r="E173" s="277"/>
      <c r="F173" s="276"/>
      <c r="G173" s="276"/>
      <c r="H173" s="276"/>
    </row>
    <row r="174">
      <c r="A174" s="276"/>
      <c r="B174" s="276"/>
      <c r="C174" s="276"/>
      <c r="D174" s="277"/>
      <c r="E174" s="277"/>
      <c r="F174" s="276"/>
      <c r="G174" s="276"/>
      <c r="H174" s="276"/>
    </row>
    <row r="175">
      <c r="A175" s="276"/>
      <c r="B175" s="276"/>
      <c r="C175" s="276"/>
      <c r="D175" s="277"/>
      <c r="E175" s="277"/>
      <c r="F175" s="276"/>
      <c r="G175" s="276"/>
      <c r="H175" s="276"/>
    </row>
    <row r="176">
      <c r="A176" s="276"/>
      <c r="B176" s="276"/>
      <c r="C176" s="276"/>
      <c r="D176" s="277"/>
      <c r="E176" s="277"/>
      <c r="F176" s="276"/>
      <c r="G176" s="276"/>
      <c r="H176" s="276"/>
    </row>
    <row r="177">
      <c r="A177" s="276"/>
      <c r="B177" s="276"/>
      <c r="C177" s="276"/>
      <c r="D177" s="277"/>
      <c r="E177" s="277"/>
      <c r="F177" s="276"/>
      <c r="G177" s="276"/>
      <c r="H177" s="276"/>
    </row>
    <row r="178">
      <c r="A178" s="276"/>
      <c r="B178" s="276"/>
      <c r="C178" s="276"/>
      <c r="D178" s="277"/>
      <c r="E178" s="277"/>
      <c r="F178" s="276"/>
      <c r="G178" s="276"/>
      <c r="H178" s="276"/>
    </row>
    <row r="179">
      <c r="A179" s="276"/>
      <c r="B179" s="276"/>
      <c r="C179" s="276"/>
      <c r="D179" s="277"/>
      <c r="E179" s="277"/>
      <c r="F179" s="276"/>
      <c r="G179" s="276"/>
      <c r="H179" s="276"/>
    </row>
    <row r="180">
      <c r="A180" s="276"/>
      <c r="B180" s="276"/>
      <c r="C180" s="276"/>
      <c r="D180" s="277"/>
      <c r="E180" s="277"/>
      <c r="F180" s="276"/>
      <c r="G180" s="276"/>
      <c r="H180" s="276"/>
    </row>
    <row r="181">
      <c r="A181" s="276"/>
      <c r="B181" s="276"/>
      <c r="C181" s="276"/>
      <c r="D181" s="277"/>
      <c r="E181" s="277"/>
      <c r="F181" s="276"/>
      <c r="G181" s="276"/>
      <c r="H181" s="276"/>
    </row>
    <row r="182">
      <c r="A182" s="276"/>
      <c r="B182" s="276"/>
      <c r="C182" s="276"/>
      <c r="D182" s="277"/>
      <c r="E182" s="277"/>
      <c r="F182" s="276"/>
      <c r="G182" s="276"/>
      <c r="H182" s="276"/>
    </row>
    <row r="183">
      <c r="A183" s="276"/>
      <c r="B183" s="276"/>
      <c r="C183" s="276"/>
      <c r="D183" s="277"/>
      <c r="E183" s="277"/>
      <c r="F183" s="276"/>
      <c r="G183" s="276"/>
      <c r="H183" s="276"/>
    </row>
    <row r="184">
      <c r="A184" s="276"/>
      <c r="B184" s="276"/>
      <c r="C184" s="276"/>
      <c r="D184" s="277"/>
      <c r="E184" s="277"/>
      <c r="F184" s="276"/>
      <c r="G184" s="276"/>
      <c r="H184" s="276"/>
    </row>
    <row r="185">
      <c r="A185" s="276"/>
      <c r="B185" s="276"/>
      <c r="C185" s="276"/>
      <c r="D185" s="277"/>
      <c r="E185" s="277"/>
      <c r="F185" s="276"/>
      <c r="G185" s="276"/>
      <c r="H185" s="276"/>
    </row>
    <row r="186">
      <c r="A186" s="276"/>
      <c r="B186" s="276"/>
      <c r="C186" s="276"/>
      <c r="D186" s="277"/>
      <c r="E186" s="277"/>
      <c r="F186" s="276"/>
      <c r="G186" s="276"/>
      <c r="H186" s="276"/>
    </row>
    <row r="187">
      <c r="A187" s="276"/>
      <c r="B187" s="276"/>
      <c r="C187" s="276"/>
      <c r="D187" s="277"/>
      <c r="E187" s="277"/>
      <c r="F187" s="276"/>
      <c r="G187" s="276"/>
      <c r="H187" s="276"/>
    </row>
    <row r="188">
      <c r="A188" s="276"/>
      <c r="B188" s="276"/>
      <c r="C188" s="276"/>
      <c r="D188" s="277"/>
      <c r="E188" s="277"/>
      <c r="F188" s="276"/>
      <c r="G188" s="276"/>
      <c r="H188" s="276"/>
    </row>
    <row r="189">
      <c r="A189" s="276"/>
      <c r="B189" s="276"/>
      <c r="C189" s="276"/>
      <c r="D189" s="277"/>
      <c r="E189" s="277"/>
      <c r="F189" s="276"/>
      <c r="G189" s="276"/>
      <c r="H189" s="276"/>
    </row>
    <row r="190">
      <c r="A190" s="276"/>
      <c r="B190" s="276"/>
      <c r="C190" s="276"/>
      <c r="D190" s="277"/>
      <c r="E190" s="277"/>
      <c r="F190" s="276"/>
      <c r="G190" s="276"/>
      <c r="H190" s="276"/>
    </row>
    <row r="191">
      <c r="A191" s="276"/>
      <c r="B191" s="276"/>
      <c r="C191" s="276"/>
      <c r="D191" s="277"/>
      <c r="E191" s="277"/>
      <c r="F191" s="276"/>
      <c r="G191" s="276"/>
      <c r="H191" s="276"/>
    </row>
    <row r="192">
      <c r="A192" s="276"/>
      <c r="B192" s="276"/>
      <c r="C192" s="276"/>
      <c r="D192" s="277"/>
      <c r="E192" s="277"/>
      <c r="F192" s="276"/>
      <c r="G192" s="276"/>
      <c r="H192" s="276"/>
    </row>
    <row r="193">
      <c r="A193" s="276"/>
      <c r="B193" s="276"/>
      <c r="C193" s="276"/>
      <c r="D193" s="277"/>
      <c r="E193" s="277"/>
      <c r="F193" s="276"/>
      <c r="G193" s="276"/>
      <c r="H193" s="276"/>
    </row>
    <row r="194">
      <c r="A194" s="276"/>
      <c r="B194" s="276"/>
      <c r="C194" s="276"/>
      <c r="D194" s="277"/>
      <c r="E194" s="277"/>
      <c r="F194" s="276"/>
      <c r="G194" s="276"/>
      <c r="H194" s="276"/>
    </row>
    <row r="195">
      <c r="A195" s="276"/>
      <c r="B195" s="276"/>
      <c r="C195" s="276"/>
      <c r="D195" s="277"/>
      <c r="E195" s="277"/>
      <c r="F195" s="276"/>
      <c r="G195" s="276"/>
      <c r="H195" s="276"/>
    </row>
    <row r="196">
      <c r="A196" s="276"/>
      <c r="B196" s="276"/>
      <c r="C196" s="276"/>
      <c r="D196" s="277"/>
      <c r="E196" s="277"/>
      <c r="F196" s="276"/>
      <c r="G196" s="276"/>
      <c r="H196" s="276"/>
    </row>
    <row r="197">
      <c r="A197" s="276"/>
      <c r="B197" s="276"/>
      <c r="C197" s="276"/>
      <c r="D197" s="277"/>
      <c r="E197" s="277"/>
      <c r="F197" s="276"/>
      <c r="G197" s="276"/>
      <c r="H197" s="276"/>
    </row>
    <row r="198">
      <c r="A198" s="276"/>
      <c r="B198" s="276"/>
      <c r="C198" s="276"/>
      <c r="D198" s="277"/>
      <c r="E198" s="277"/>
      <c r="F198" s="276"/>
      <c r="G198" s="276"/>
      <c r="H198" s="276"/>
    </row>
    <row r="199">
      <c r="A199" s="276"/>
      <c r="B199" s="276"/>
      <c r="C199" s="276"/>
      <c r="D199" s="277"/>
      <c r="E199" s="277"/>
      <c r="F199" s="276"/>
      <c r="G199" s="276"/>
      <c r="H199" s="276"/>
    </row>
    <row r="200">
      <c r="A200" s="276"/>
      <c r="B200" s="276"/>
      <c r="C200" s="276"/>
      <c r="D200" s="277"/>
      <c r="E200" s="277"/>
      <c r="F200" s="276"/>
      <c r="G200" s="276"/>
      <c r="H200" s="276"/>
    </row>
    <row r="201">
      <c r="A201" s="276"/>
      <c r="B201" s="276"/>
      <c r="C201" s="276"/>
      <c r="D201" s="277"/>
      <c r="E201" s="277"/>
      <c r="F201" s="276"/>
      <c r="G201" s="276"/>
      <c r="H201" s="276"/>
    </row>
    <row r="202">
      <c r="A202" s="276"/>
      <c r="B202" s="276"/>
      <c r="C202" s="276"/>
      <c r="D202" s="277"/>
      <c r="E202" s="277"/>
      <c r="F202" s="276"/>
      <c r="G202" s="276"/>
      <c r="H202" s="276"/>
    </row>
    <row r="203">
      <c r="A203" s="276"/>
      <c r="B203" s="276"/>
      <c r="C203" s="276"/>
      <c r="D203" s="277"/>
      <c r="E203" s="277"/>
      <c r="F203" s="276"/>
      <c r="G203" s="276"/>
      <c r="H203" s="276"/>
    </row>
    <row r="204">
      <c r="A204" s="276"/>
      <c r="B204" s="276"/>
      <c r="C204" s="276"/>
      <c r="D204" s="277"/>
      <c r="E204" s="277"/>
      <c r="F204" s="276"/>
      <c r="G204" s="276"/>
      <c r="H204" s="276"/>
    </row>
    <row r="205">
      <c r="A205" s="276"/>
      <c r="B205" s="276"/>
      <c r="C205" s="276"/>
      <c r="D205" s="277"/>
      <c r="E205" s="277"/>
      <c r="F205" s="276"/>
      <c r="G205" s="276"/>
      <c r="H205" s="276"/>
    </row>
    <row r="206">
      <c r="A206" s="276"/>
      <c r="B206" s="276"/>
      <c r="C206" s="276"/>
      <c r="D206" s="277"/>
      <c r="E206" s="277"/>
      <c r="F206" s="276"/>
      <c r="G206" s="276"/>
      <c r="H206" s="276"/>
    </row>
    <row r="207">
      <c r="A207" s="276"/>
      <c r="B207" s="276"/>
      <c r="C207" s="276"/>
      <c r="D207" s="277"/>
      <c r="E207" s="277"/>
      <c r="F207" s="276"/>
      <c r="G207" s="276"/>
      <c r="H207" s="276"/>
    </row>
    <row r="208">
      <c r="A208" s="276"/>
      <c r="B208" s="276"/>
      <c r="C208" s="276"/>
      <c r="D208" s="277"/>
      <c r="E208" s="277"/>
      <c r="F208" s="276"/>
      <c r="G208" s="276"/>
      <c r="H208" s="276"/>
    </row>
    <row r="209">
      <c r="A209" s="276"/>
      <c r="B209" s="276"/>
      <c r="C209" s="276"/>
      <c r="D209" s="277"/>
      <c r="E209" s="277"/>
      <c r="F209" s="276"/>
      <c r="G209" s="276"/>
      <c r="H209" s="276"/>
    </row>
    <row r="210">
      <c r="A210" s="276"/>
      <c r="B210" s="276"/>
      <c r="C210" s="276"/>
      <c r="D210" s="277"/>
      <c r="E210" s="277"/>
      <c r="F210" s="276"/>
      <c r="G210" s="276"/>
      <c r="H210" s="276"/>
    </row>
    <row r="211">
      <c r="A211" s="276"/>
      <c r="B211" s="276"/>
      <c r="C211" s="276"/>
      <c r="D211" s="277"/>
      <c r="E211" s="277"/>
      <c r="F211" s="276"/>
      <c r="G211" s="276"/>
      <c r="H211" s="276"/>
    </row>
    <row r="212">
      <c r="A212" s="276"/>
      <c r="B212" s="276"/>
      <c r="C212" s="276"/>
      <c r="D212" s="277"/>
      <c r="E212" s="277"/>
      <c r="F212" s="276"/>
      <c r="G212" s="276"/>
      <c r="H212" s="276"/>
    </row>
    <row r="213">
      <c r="A213" s="276"/>
      <c r="B213" s="276"/>
      <c r="C213" s="276"/>
      <c r="D213" s="277"/>
      <c r="E213" s="277"/>
      <c r="F213" s="276"/>
      <c r="G213" s="276"/>
      <c r="H213" s="276"/>
    </row>
    <row r="214">
      <c r="A214" s="276"/>
      <c r="B214" s="276"/>
      <c r="C214" s="276"/>
      <c r="D214" s="277"/>
      <c r="E214" s="277"/>
      <c r="F214" s="276"/>
      <c r="G214" s="276"/>
      <c r="H214" s="276"/>
    </row>
    <row r="215">
      <c r="A215" s="276"/>
      <c r="B215" s="276"/>
      <c r="C215" s="276"/>
      <c r="D215" s="277"/>
      <c r="E215" s="277"/>
      <c r="F215" s="276"/>
      <c r="G215" s="276"/>
      <c r="H215" s="276"/>
    </row>
    <row r="216">
      <c r="A216" s="276"/>
      <c r="B216" s="276"/>
      <c r="C216" s="276"/>
      <c r="D216" s="277"/>
      <c r="E216" s="277"/>
      <c r="F216" s="276"/>
      <c r="G216" s="276"/>
      <c r="H216" s="276"/>
    </row>
    <row r="217">
      <c r="A217" s="276"/>
      <c r="B217" s="276"/>
      <c r="C217" s="276"/>
      <c r="D217" s="277"/>
      <c r="E217" s="277"/>
      <c r="F217" s="276"/>
      <c r="G217" s="276"/>
      <c r="H217" s="276"/>
    </row>
    <row r="218">
      <c r="A218" s="276"/>
      <c r="B218" s="276"/>
      <c r="C218" s="276"/>
      <c r="D218" s="277"/>
      <c r="E218" s="277"/>
      <c r="F218" s="276"/>
      <c r="G218" s="276"/>
      <c r="H218" s="276"/>
    </row>
    <row r="219">
      <c r="A219" s="276"/>
      <c r="B219" s="276"/>
      <c r="C219" s="276"/>
      <c r="D219" s="277"/>
      <c r="E219" s="277"/>
      <c r="F219" s="276"/>
      <c r="G219" s="276"/>
      <c r="H219" s="276"/>
    </row>
    <row r="220">
      <c r="A220" s="276"/>
      <c r="B220" s="276"/>
      <c r="C220" s="276"/>
      <c r="D220" s="277"/>
      <c r="E220" s="277"/>
      <c r="F220" s="276"/>
      <c r="G220" s="276"/>
      <c r="H220" s="276"/>
    </row>
    <row r="221">
      <c r="A221" s="276"/>
      <c r="B221" s="276"/>
      <c r="C221" s="276"/>
      <c r="D221" s="277"/>
      <c r="E221" s="277"/>
      <c r="F221" s="276"/>
      <c r="G221" s="276"/>
      <c r="H221" s="276"/>
    </row>
    <row r="222">
      <c r="A222" s="276"/>
      <c r="B222" s="276"/>
      <c r="C222" s="276"/>
      <c r="D222" s="277"/>
      <c r="E222" s="277"/>
      <c r="F222" s="276"/>
      <c r="G222" s="276"/>
      <c r="H222" s="276"/>
    </row>
    <row r="223">
      <c r="A223" s="276"/>
      <c r="B223" s="276"/>
      <c r="C223" s="276"/>
      <c r="D223" s="277"/>
      <c r="E223" s="277"/>
      <c r="F223" s="276"/>
      <c r="G223" s="276"/>
      <c r="H223" s="276"/>
    </row>
    <row r="224">
      <c r="A224" s="276"/>
      <c r="B224" s="276"/>
      <c r="C224" s="276"/>
      <c r="D224" s="277"/>
      <c r="E224" s="277"/>
      <c r="F224" s="276"/>
      <c r="G224" s="276"/>
      <c r="H224" s="276"/>
    </row>
    <row r="225">
      <c r="A225" s="276"/>
      <c r="B225" s="276"/>
      <c r="C225" s="276"/>
      <c r="D225" s="277"/>
      <c r="E225" s="277"/>
      <c r="F225" s="276"/>
      <c r="G225" s="276"/>
      <c r="H225" s="276"/>
    </row>
    <row r="226">
      <c r="A226" s="276"/>
      <c r="B226" s="276"/>
      <c r="C226" s="276"/>
      <c r="D226" s="277"/>
      <c r="E226" s="277"/>
      <c r="F226" s="276"/>
      <c r="G226" s="276"/>
      <c r="H226" s="276"/>
    </row>
    <row r="227">
      <c r="A227" s="276"/>
      <c r="B227" s="276"/>
      <c r="C227" s="276"/>
      <c r="D227" s="277"/>
      <c r="E227" s="277"/>
      <c r="F227" s="276"/>
      <c r="G227" s="276"/>
      <c r="H227" s="276"/>
    </row>
    <row r="228">
      <c r="A228" s="276"/>
      <c r="B228" s="276"/>
      <c r="C228" s="276"/>
      <c r="D228" s="277"/>
      <c r="E228" s="277"/>
      <c r="F228" s="276"/>
      <c r="G228" s="276"/>
      <c r="H228" s="276"/>
    </row>
    <row r="229">
      <c r="A229" s="276"/>
      <c r="B229" s="276"/>
      <c r="C229" s="276"/>
      <c r="D229" s="277"/>
      <c r="E229" s="277"/>
      <c r="F229" s="276"/>
      <c r="G229" s="276"/>
      <c r="H229" s="276"/>
    </row>
    <row r="230">
      <c r="A230" s="276"/>
      <c r="B230" s="276"/>
      <c r="C230" s="276"/>
      <c r="D230" s="277"/>
      <c r="E230" s="277"/>
      <c r="F230" s="276"/>
      <c r="G230" s="276"/>
      <c r="H230" s="276"/>
    </row>
    <row r="231">
      <c r="A231" s="276"/>
      <c r="B231" s="276"/>
      <c r="C231" s="276"/>
      <c r="D231" s="277"/>
      <c r="E231" s="277"/>
      <c r="F231" s="276"/>
      <c r="G231" s="276"/>
      <c r="H231" s="276"/>
    </row>
    <row r="232">
      <c r="A232" s="276"/>
      <c r="B232" s="276"/>
      <c r="C232" s="276"/>
      <c r="D232" s="277"/>
      <c r="E232" s="277"/>
      <c r="F232" s="276"/>
      <c r="G232" s="276"/>
      <c r="H232" s="276"/>
    </row>
    <row r="233">
      <c r="A233" s="276"/>
      <c r="B233" s="276"/>
      <c r="C233" s="276"/>
      <c r="D233" s="277"/>
      <c r="E233" s="277"/>
      <c r="F233" s="276"/>
      <c r="G233" s="276"/>
      <c r="H233" s="276"/>
    </row>
    <row r="234">
      <c r="A234" s="276"/>
      <c r="B234" s="276"/>
      <c r="C234" s="276"/>
      <c r="D234" s="277"/>
      <c r="E234" s="277"/>
      <c r="F234" s="276"/>
      <c r="G234" s="276"/>
      <c r="H234" s="276"/>
    </row>
    <row r="235">
      <c r="A235" s="276"/>
      <c r="B235" s="276"/>
      <c r="C235" s="276"/>
      <c r="D235" s="277"/>
      <c r="E235" s="277"/>
      <c r="F235" s="276"/>
      <c r="G235" s="276"/>
      <c r="H235" s="276"/>
    </row>
    <row r="236">
      <c r="A236" s="276"/>
      <c r="B236" s="276"/>
      <c r="C236" s="276"/>
      <c r="D236" s="277"/>
      <c r="E236" s="277"/>
      <c r="F236" s="276"/>
      <c r="G236" s="276"/>
      <c r="H236" s="276"/>
    </row>
    <row r="237">
      <c r="A237" s="276"/>
      <c r="B237" s="276"/>
      <c r="C237" s="276"/>
      <c r="D237" s="277"/>
      <c r="E237" s="277"/>
      <c r="F237" s="276"/>
      <c r="G237" s="276"/>
      <c r="H237" s="276"/>
    </row>
    <row r="238">
      <c r="A238" s="276"/>
      <c r="B238" s="276"/>
      <c r="C238" s="276"/>
      <c r="D238" s="277"/>
      <c r="E238" s="277"/>
      <c r="F238" s="276"/>
      <c r="G238" s="276"/>
      <c r="H238" s="276"/>
    </row>
    <row r="239">
      <c r="A239" s="276"/>
      <c r="B239" s="276"/>
      <c r="C239" s="276"/>
      <c r="D239" s="277"/>
      <c r="E239" s="277"/>
      <c r="F239" s="276"/>
      <c r="G239" s="276"/>
      <c r="H239" s="276"/>
    </row>
    <row r="240">
      <c r="A240" s="276"/>
      <c r="B240" s="276"/>
      <c r="C240" s="276"/>
      <c r="D240" s="277"/>
      <c r="E240" s="277"/>
      <c r="F240" s="276"/>
      <c r="G240" s="276"/>
      <c r="H240" s="276"/>
    </row>
    <row r="241">
      <c r="A241" s="276"/>
      <c r="B241" s="276"/>
      <c r="C241" s="276"/>
      <c r="D241" s="277"/>
      <c r="E241" s="277"/>
      <c r="F241" s="276"/>
      <c r="G241" s="276"/>
      <c r="H241" s="276"/>
    </row>
    <row r="242">
      <c r="A242" s="276"/>
      <c r="B242" s="276"/>
      <c r="C242" s="276"/>
      <c r="D242" s="277"/>
      <c r="E242" s="277"/>
      <c r="F242" s="276"/>
      <c r="G242" s="276"/>
      <c r="H242" s="276"/>
    </row>
    <row r="243">
      <c r="A243" s="276"/>
      <c r="B243" s="276"/>
      <c r="C243" s="276"/>
      <c r="D243" s="277"/>
      <c r="E243" s="277"/>
      <c r="F243" s="276"/>
      <c r="G243" s="276"/>
      <c r="H243" s="276"/>
    </row>
    <row r="244">
      <c r="A244" s="276"/>
      <c r="B244" s="276"/>
      <c r="C244" s="276"/>
      <c r="D244" s="277"/>
      <c r="E244" s="277"/>
      <c r="F244" s="276"/>
      <c r="G244" s="276"/>
      <c r="H244" s="276"/>
    </row>
    <row r="245">
      <c r="A245" s="276"/>
      <c r="B245" s="276"/>
      <c r="C245" s="276"/>
      <c r="D245" s="277"/>
      <c r="E245" s="277"/>
      <c r="F245" s="276"/>
      <c r="G245" s="276"/>
      <c r="H245" s="276"/>
    </row>
    <row r="246">
      <c r="A246" s="276"/>
      <c r="B246" s="276"/>
      <c r="C246" s="276"/>
      <c r="D246" s="277"/>
      <c r="E246" s="277"/>
      <c r="F246" s="276"/>
      <c r="G246" s="276"/>
      <c r="H246" s="276"/>
    </row>
    <row r="247">
      <c r="A247" s="276"/>
      <c r="B247" s="276"/>
      <c r="C247" s="276"/>
      <c r="D247" s="277"/>
      <c r="E247" s="277"/>
      <c r="F247" s="276"/>
      <c r="G247" s="276"/>
      <c r="H247" s="276"/>
    </row>
    <row r="248">
      <c r="A248" s="276"/>
      <c r="B248" s="276"/>
      <c r="C248" s="276"/>
      <c r="D248" s="277"/>
      <c r="E248" s="277"/>
      <c r="F248" s="276"/>
      <c r="G248" s="276"/>
      <c r="H248" s="276"/>
    </row>
    <row r="249">
      <c r="A249" s="276"/>
      <c r="B249" s="276"/>
      <c r="C249" s="276"/>
      <c r="D249" s="277"/>
      <c r="E249" s="277"/>
      <c r="F249" s="276"/>
      <c r="G249" s="276"/>
      <c r="H249" s="276"/>
    </row>
    <row r="250">
      <c r="A250" s="276"/>
      <c r="B250" s="276"/>
      <c r="C250" s="276"/>
      <c r="D250" s="277"/>
      <c r="E250" s="277"/>
      <c r="F250" s="276"/>
      <c r="G250" s="276"/>
      <c r="H250" s="276"/>
    </row>
    <row r="251">
      <c r="A251" s="276"/>
      <c r="B251" s="276"/>
      <c r="C251" s="276"/>
      <c r="D251" s="277"/>
      <c r="E251" s="277"/>
      <c r="F251" s="276"/>
      <c r="G251" s="276"/>
      <c r="H251" s="276"/>
    </row>
    <row r="252">
      <c r="A252" s="276"/>
      <c r="B252" s="276"/>
      <c r="C252" s="276"/>
      <c r="D252" s="277"/>
      <c r="E252" s="277"/>
      <c r="F252" s="276"/>
      <c r="G252" s="276"/>
      <c r="H252" s="276"/>
    </row>
    <row r="253">
      <c r="A253" s="276"/>
      <c r="B253" s="276"/>
      <c r="C253" s="276"/>
      <c r="D253" s="277"/>
      <c r="E253" s="277"/>
      <c r="F253" s="276"/>
      <c r="G253" s="276"/>
      <c r="H253" s="276"/>
    </row>
    <row r="254">
      <c r="A254" s="276"/>
      <c r="B254" s="276"/>
      <c r="C254" s="276"/>
      <c r="D254" s="277"/>
      <c r="E254" s="277"/>
      <c r="F254" s="276"/>
      <c r="G254" s="276"/>
      <c r="H254" s="276"/>
    </row>
    <row r="255">
      <c r="A255" s="276"/>
      <c r="B255" s="276"/>
      <c r="C255" s="276"/>
      <c r="D255" s="277"/>
      <c r="E255" s="277"/>
      <c r="F255" s="276"/>
      <c r="G255" s="276"/>
      <c r="H255" s="276"/>
    </row>
    <row r="256">
      <c r="A256" s="276"/>
      <c r="B256" s="276"/>
      <c r="C256" s="276"/>
      <c r="D256" s="277"/>
      <c r="E256" s="277"/>
      <c r="F256" s="276"/>
      <c r="G256" s="276"/>
      <c r="H256" s="276"/>
    </row>
    <row r="257">
      <c r="A257" s="276"/>
      <c r="B257" s="276"/>
      <c r="C257" s="276"/>
      <c r="D257" s="277"/>
      <c r="E257" s="277"/>
      <c r="F257" s="276"/>
      <c r="G257" s="276"/>
      <c r="H257" s="276"/>
    </row>
    <row r="258">
      <c r="A258" s="276"/>
      <c r="B258" s="276"/>
      <c r="C258" s="276"/>
      <c r="D258" s="277"/>
      <c r="E258" s="277"/>
      <c r="F258" s="276"/>
      <c r="G258" s="276"/>
      <c r="H258" s="276"/>
    </row>
    <row r="259">
      <c r="A259" s="276"/>
      <c r="B259" s="276"/>
      <c r="C259" s="276"/>
      <c r="D259" s="277"/>
      <c r="E259" s="277"/>
      <c r="F259" s="276"/>
      <c r="G259" s="276"/>
      <c r="H259" s="276"/>
    </row>
    <row r="260">
      <c r="A260" s="276"/>
      <c r="B260" s="276"/>
      <c r="C260" s="276"/>
      <c r="D260" s="277"/>
      <c r="E260" s="277"/>
      <c r="F260" s="276"/>
      <c r="G260" s="276"/>
      <c r="H260" s="276"/>
    </row>
    <row r="261">
      <c r="A261" s="276"/>
      <c r="B261" s="276"/>
      <c r="C261" s="276"/>
      <c r="D261" s="277"/>
      <c r="E261" s="277"/>
      <c r="F261" s="276"/>
      <c r="G261" s="276"/>
      <c r="H261" s="276"/>
    </row>
    <row r="262">
      <c r="A262" s="276"/>
      <c r="B262" s="276"/>
      <c r="C262" s="276"/>
      <c r="D262" s="277"/>
      <c r="E262" s="277"/>
      <c r="F262" s="276"/>
      <c r="G262" s="276"/>
      <c r="H262" s="276"/>
    </row>
    <row r="263">
      <c r="A263" s="276"/>
      <c r="B263" s="276"/>
      <c r="C263" s="276"/>
      <c r="D263" s="277"/>
      <c r="E263" s="277"/>
      <c r="F263" s="276"/>
      <c r="G263" s="276"/>
      <c r="H263" s="276"/>
    </row>
    <row r="264">
      <c r="A264" s="276"/>
      <c r="B264" s="276"/>
      <c r="C264" s="276"/>
      <c r="D264" s="277"/>
      <c r="E264" s="277"/>
      <c r="F264" s="276"/>
      <c r="G264" s="276"/>
      <c r="H264" s="276"/>
    </row>
    <row r="265">
      <c r="A265" s="276"/>
      <c r="B265" s="276"/>
      <c r="C265" s="276"/>
      <c r="D265" s="277"/>
      <c r="E265" s="277"/>
      <c r="F265" s="276"/>
      <c r="G265" s="276"/>
      <c r="H265" s="276"/>
    </row>
    <row r="266">
      <c r="A266" s="276"/>
      <c r="B266" s="276"/>
      <c r="C266" s="276"/>
      <c r="D266" s="277"/>
      <c r="E266" s="277"/>
      <c r="F266" s="276"/>
      <c r="G266" s="276"/>
      <c r="H266" s="276"/>
    </row>
    <row r="267">
      <c r="A267" s="276"/>
      <c r="B267" s="276"/>
      <c r="C267" s="276"/>
      <c r="D267" s="277"/>
      <c r="E267" s="277"/>
      <c r="F267" s="276"/>
      <c r="G267" s="276"/>
      <c r="H267" s="276"/>
    </row>
    <row r="268">
      <c r="A268" s="276"/>
      <c r="B268" s="276"/>
      <c r="C268" s="276"/>
      <c r="D268" s="277"/>
      <c r="E268" s="277"/>
      <c r="F268" s="276"/>
      <c r="G268" s="276"/>
      <c r="H268" s="276"/>
    </row>
    <row r="269">
      <c r="A269" s="276"/>
      <c r="B269" s="276"/>
      <c r="C269" s="276"/>
      <c r="D269" s="277"/>
      <c r="E269" s="277"/>
      <c r="F269" s="276"/>
      <c r="G269" s="276"/>
      <c r="H269" s="276"/>
    </row>
    <row r="270">
      <c r="A270" s="276"/>
      <c r="B270" s="276"/>
      <c r="C270" s="276"/>
      <c r="D270" s="277"/>
      <c r="E270" s="277"/>
      <c r="F270" s="276"/>
      <c r="G270" s="276"/>
      <c r="H270" s="276"/>
    </row>
    <row r="271">
      <c r="A271" s="276"/>
      <c r="B271" s="276"/>
      <c r="C271" s="276"/>
      <c r="D271" s="277"/>
      <c r="E271" s="277"/>
      <c r="F271" s="276"/>
      <c r="G271" s="276"/>
      <c r="H271" s="276"/>
    </row>
    <row r="272">
      <c r="A272" s="276"/>
      <c r="B272" s="276"/>
      <c r="C272" s="276"/>
      <c r="D272" s="277"/>
      <c r="E272" s="277"/>
      <c r="F272" s="276"/>
      <c r="G272" s="276"/>
      <c r="H272" s="276"/>
    </row>
    <row r="273">
      <c r="A273" s="276"/>
      <c r="B273" s="276"/>
      <c r="C273" s="276"/>
      <c r="D273" s="277"/>
      <c r="E273" s="277"/>
      <c r="F273" s="276"/>
      <c r="G273" s="276"/>
      <c r="H273" s="276"/>
    </row>
    <row r="274">
      <c r="A274" s="276"/>
      <c r="B274" s="276"/>
      <c r="C274" s="276"/>
      <c r="D274" s="277"/>
      <c r="E274" s="277"/>
      <c r="F274" s="276"/>
      <c r="G274" s="276"/>
      <c r="H274" s="276"/>
    </row>
    <row r="275">
      <c r="A275" s="276"/>
      <c r="B275" s="276"/>
      <c r="C275" s="276"/>
      <c r="D275" s="277"/>
      <c r="E275" s="277"/>
      <c r="F275" s="276"/>
      <c r="G275" s="276"/>
      <c r="H275" s="276"/>
    </row>
    <row r="276">
      <c r="A276" s="276"/>
      <c r="B276" s="276"/>
      <c r="C276" s="276"/>
      <c r="D276" s="277"/>
      <c r="E276" s="277"/>
      <c r="F276" s="276"/>
      <c r="G276" s="276"/>
      <c r="H276" s="276"/>
    </row>
    <row r="277">
      <c r="A277" s="276"/>
      <c r="B277" s="276"/>
      <c r="C277" s="276"/>
      <c r="D277" s="277"/>
      <c r="E277" s="277"/>
      <c r="F277" s="276"/>
      <c r="G277" s="276"/>
      <c r="H277" s="276"/>
    </row>
    <row r="278">
      <c r="A278" s="276"/>
      <c r="B278" s="276"/>
      <c r="C278" s="276"/>
      <c r="D278" s="277"/>
      <c r="E278" s="277"/>
      <c r="F278" s="276"/>
      <c r="G278" s="276"/>
      <c r="H278" s="276"/>
    </row>
    <row r="279">
      <c r="A279" s="276"/>
      <c r="B279" s="276"/>
      <c r="C279" s="276"/>
      <c r="D279" s="277"/>
      <c r="E279" s="277"/>
      <c r="F279" s="276"/>
      <c r="G279" s="276"/>
      <c r="H279" s="276"/>
    </row>
    <row r="280">
      <c r="A280" s="276"/>
      <c r="B280" s="276"/>
      <c r="C280" s="276"/>
      <c r="D280" s="277"/>
      <c r="E280" s="277"/>
      <c r="F280" s="276"/>
      <c r="G280" s="276"/>
      <c r="H280" s="276"/>
    </row>
    <row r="281">
      <c r="A281" s="276"/>
      <c r="B281" s="276"/>
      <c r="C281" s="276"/>
      <c r="D281" s="277"/>
      <c r="E281" s="277"/>
      <c r="F281" s="276"/>
      <c r="G281" s="276"/>
      <c r="H281" s="276"/>
    </row>
    <row r="282">
      <c r="A282" s="276"/>
      <c r="B282" s="276"/>
      <c r="C282" s="276"/>
      <c r="D282" s="277"/>
      <c r="E282" s="277"/>
      <c r="F282" s="276"/>
      <c r="G282" s="276"/>
      <c r="H282" s="276"/>
    </row>
    <row r="283">
      <c r="A283" s="276"/>
      <c r="B283" s="276"/>
      <c r="C283" s="276"/>
      <c r="D283" s="277"/>
      <c r="E283" s="277"/>
      <c r="F283" s="276"/>
      <c r="G283" s="276"/>
      <c r="H283" s="276"/>
    </row>
    <row r="284">
      <c r="A284" s="276"/>
      <c r="B284" s="276"/>
      <c r="C284" s="276"/>
      <c r="D284" s="277"/>
      <c r="E284" s="277"/>
      <c r="F284" s="276"/>
      <c r="G284" s="276"/>
      <c r="H284" s="276"/>
    </row>
    <row r="285">
      <c r="A285" s="276"/>
      <c r="B285" s="276"/>
      <c r="C285" s="276"/>
      <c r="D285" s="277"/>
      <c r="E285" s="277"/>
      <c r="F285" s="276"/>
      <c r="G285" s="276"/>
      <c r="H285" s="276"/>
    </row>
    <row r="286">
      <c r="A286" s="276"/>
      <c r="B286" s="276"/>
      <c r="C286" s="276"/>
      <c r="D286" s="277"/>
      <c r="E286" s="277"/>
      <c r="F286" s="276"/>
      <c r="G286" s="276"/>
      <c r="H286" s="276"/>
    </row>
    <row r="287">
      <c r="A287" s="276"/>
      <c r="B287" s="276"/>
      <c r="C287" s="276"/>
      <c r="D287" s="277"/>
      <c r="E287" s="277"/>
      <c r="F287" s="276"/>
      <c r="G287" s="276"/>
      <c r="H287" s="276"/>
    </row>
    <row r="288">
      <c r="A288" s="276"/>
      <c r="B288" s="276"/>
      <c r="C288" s="276"/>
      <c r="D288" s="277"/>
      <c r="E288" s="277"/>
      <c r="F288" s="276"/>
      <c r="G288" s="276"/>
      <c r="H288" s="276"/>
    </row>
    <row r="289">
      <c r="A289" s="276"/>
      <c r="B289" s="276"/>
      <c r="C289" s="276"/>
      <c r="D289" s="277"/>
      <c r="E289" s="277"/>
      <c r="F289" s="276"/>
      <c r="G289" s="276"/>
      <c r="H289" s="276"/>
    </row>
    <row r="290">
      <c r="A290" s="276"/>
      <c r="B290" s="276"/>
      <c r="C290" s="276"/>
      <c r="D290" s="277"/>
      <c r="E290" s="277"/>
      <c r="F290" s="276"/>
      <c r="G290" s="276"/>
      <c r="H290" s="276"/>
    </row>
    <row r="291">
      <c r="A291" s="276"/>
      <c r="B291" s="276"/>
      <c r="C291" s="276"/>
      <c r="D291" s="277"/>
      <c r="E291" s="277"/>
      <c r="F291" s="276"/>
      <c r="G291" s="276"/>
      <c r="H291" s="276"/>
    </row>
    <row r="292">
      <c r="A292" s="276"/>
      <c r="B292" s="276"/>
      <c r="C292" s="276"/>
      <c r="D292" s="277"/>
      <c r="E292" s="277"/>
      <c r="F292" s="276"/>
      <c r="G292" s="276"/>
      <c r="H292" s="276"/>
    </row>
    <row r="293">
      <c r="A293" s="276"/>
      <c r="B293" s="276"/>
      <c r="C293" s="276"/>
      <c r="D293" s="277"/>
      <c r="E293" s="277"/>
      <c r="F293" s="276"/>
      <c r="G293" s="276"/>
      <c r="H293" s="276"/>
    </row>
    <row r="294">
      <c r="A294" s="276"/>
      <c r="B294" s="276"/>
      <c r="C294" s="276"/>
      <c r="D294" s="277"/>
      <c r="E294" s="277"/>
      <c r="F294" s="276"/>
      <c r="G294" s="276"/>
      <c r="H294" s="276"/>
    </row>
    <row r="295">
      <c r="A295" s="276"/>
      <c r="B295" s="276"/>
      <c r="C295" s="276"/>
      <c r="D295" s="277"/>
      <c r="E295" s="277"/>
      <c r="F295" s="276"/>
      <c r="G295" s="276"/>
      <c r="H295" s="276"/>
    </row>
    <row r="296">
      <c r="A296" s="276"/>
      <c r="B296" s="276"/>
      <c r="C296" s="276"/>
      <c r="D296" s="277"/>
      <c r="E296" s="277"/>
      <c r="F296" s="276"/>
      <c r="G296" s="276"/>
      <c r="H296" s="276"/>
    </row>
    <row r="297">
      <c r="A297" s="276"/>
      <c r="B297" s="276"/>
      <c r="C297" s="276"/>
      <c r="D297" s="277"/>
      <c r="E297" s="277"/>
      <c r="F297" s="276"/>
      <c r="G297" s="276"/>
      <c r="H297" s="276"/>
    </row>
    <row r="298">
      <c r="A298" s="276"/>
      <c r="B298" s="276"/>
      <c r="C298" s="276"/>
      <c r="D298" s="277"/>
      <c r="E298" s="277"/>
      <c r="F298" s="276"/>
      <c r="G298" s="276"/>
      <c r="H298" s="276"/>
    </row>
    <row r="299">
      <c r="A299" s="276"/>
      <c r="B299" s="276"/>
      <c r="C299" s="276"/>
      <c r="D299" s="277"/>
      <c r="E299" s="277"/>
      <c r="F299" s="276"/>
      <c r="G299" s="276"/>
      <c r="H299" s="276"/>
    </row>
    <row r="300">
      <c r="A300" s="276"/>
      <c r="B300" s="276"/>
      <c r="C300" s="276"/>
      <c r="D300" s="277"/>
      <c r="E300" s="277"/>
      <c r="F300" s="276"/>
      <c r="G300" s="276"/>
      <c r="H300" s="276"/>
    </row>
    <row r="301">
      <c r="A301" s="276"/>
      <c r="B301" s="276"/>
      <c r="C301" s="276"/>
      <c r="D301" s="277"/>
      <c r="E301" s="277"/>
      <c r="F301" s="276"/>
      <c r="G301" s="276"/>
      <c r="H301" s="276"/>
    </row>
    <row r="302">
      <c r="A302" s="276"/>
      <c r="B302" s="276"/>
      <c r="C302" s="276"/>
      <c r="D302" s="277"/>
      <c r="E302" s="277"/>
      <c r="F302" s="276"/>
      <c r="G302" s="276"/>
      <c r="H302" s="276"/>
    </row>
    <row r="303">
      <c r="A303" s="276"/>
      <c r="B303" s="276"/>
      <c r="C303" s="276"/>
      <c r="D303" s="277"/>
      <c r="E303" s="277"/>
      <c r="F303" s="276"/>
      <c r="G303" s="276"/>
      <c r="H303" s="276"/>
    </row>
    <row r="304">
      <c r="A304" s="276"/>
      <c r="B304" s="276"/>
      <c r="C304" s="276"/>
      <c r="D304" s="277"/>
      <c r="E304" s="277"/>
      <c r="F304" s="276"/>
      <c r="G304" s="276"/>
      <c r="H304" s="276"/>
    </row>
    <row r="305">
      <c r="A305" s="276"/>
      <c r="B305" s="276"/>
      <c r="C305" s="276"/>
      <c r="D305" s="277"/>
      <c r="E305" s="277"/>
      <c r="F305" s="276"/>
      <c r="G305" s="276"/>
      <c r="H305" s="276"/>
    </row>
    <row r="306">
      <c r="A306" s="276"/>
      <c r="B306" s="276"/>
      <c r="C306" s="276"/>
      <c r="D306" s="277"/>
      <c r="E306" s="277"/>
      <c r="F306" s="276"/>
      <c r="G306" s="276"/>
      <c r="H306" s="276"/>
    </row>
    <row r="307">
      <c r="A307" s="276"/>
      <c r="B307" s="276"/>
      <c r="C307" s="276"/>
      <c r="D307" s="277"/>
      <c r="E307" s="277"/>
      <c r="F307" s="276"/>
      <c r="G307" s="276"/>
      <c r="H307" s="276"/>
    </row>
    <row r="308">
      <c r="A308" s="276"/>
      <c r="B308" s="276"/>
      <c r="C308" s="276"/>
      <c r="D308" s="277"/>
      <c r="E308" s="277"/>
      <c r="F308" s="276"/>
      <c r="G308" s="276"/>
      <c r="H308" s="276"/>
    </row>
    <row r="309">
      <c r="A309" s="276"/>
      <c r="B309" s="276"/>
      <c r="C309" s="276"/>
      <c r="D309" s="277"/>
      <c r="E309" s="277"/>
      <c r="F309" s="276"/>
      <c r="G309" s="276"/>
      <c r="H309" s="276"/>
    </row>
    <row r="310">
      <c r="A310" s="276"/>
      <c r="B310" s="276"/>
      <c r="C310" s="276"/>
      <c r="D310" s="277"/>
      <c r="E310" s="277"/>
      <c r="F310" s="276"/>
      <c r="G310" s="276"/>
      <c r="H310" s="276"/>
    </row>
    <row r="311">
      <c r="A311" s="276"/>
      <c r="B311" s="276"/>
      <c r="C311" s="276"/>
      <c r="D311" s="277"/>
      <c r="E311" s="277"/>
      <c r="F311" s="276"/>
      <c r="G311" s="276"/>
      <c r="H311" s="276"/>
    </row>
    <row r="312">
      <c r="A312" s="276"/>
      <c r="B312" s="276"/>
      <c r="C312" s="276"/>
      <c r="D312" s="277"/>
      <c r="E312" s="277"/>
      <c r="F312" s="276"/>
      <c r="G312" s="276"/>
      <c r="H312" s="276"/>
    </row>
    <row r="313">
      <c r="A313" s="276"/>
      <c r="B313" s="276"/>
      <c r="C313" s="276"/>
      <c r="D313" s="277"/>
      <c r="E313" s="277"/>
      <c r="F313" s="276"/>
      <c r="G313" s="276"/>
      <c r="H313" s="276"/>
    </row>
    <row r="314">
      <c r="A314" s="276"/>
      <c r="B314" s="276"/>
      <c r="C314" s="276"/>
      <c r="D314" s="277"/>
      <c r="E314" s="277"/>
      <c r="F314" s="276"/>
      <c r="G314" s="276"/>
      <c r="H314" s="276"/>
    </row>
    <row r="315">
      <c r="A315" s="276"/>
      <c r="B315" s="276"/>
      <c r="C315" s="276"/>
      <c r="D315" s="277"/>
      <c r="E315" s="277"/>
      <c r="F315" s="276"/>
      <c r="G315" s="276"/>
      <c r="H315" s="276"/>
    </row>
    <row r="316">
      <c r="A316" s="276"/>
      <c r="B316" s="276"/>
      <c r="C316" s="276"/>
      <c r="D316" s="277"/>
      <c r="E316" s="277"/>
      <c r="F316" s="276"/>
      <c r="G316" s="276"/>
      <c r="H316" s="276"/>
    </row>
    <row r="317">
      <c r="A317" s="276"/>
      <c r="B317" s="276"/>
      <c r="C317" s="276"/>
      <c r="D317" s="277"/>
      <c r="E317" s="277"/>
      <c r="F317" s="276"/>
      <c r="G317" s="276"/>
      <c r="H317" s="276"/>
    </row>
    <row r="318">
      <c r="A318" s="276"/>
      <c r="B318" s="276"/>
      <c r="C318" s="276"/>
      <c r="D318" s="277"/>
      <c r="E318" s="277"/>
      <c r="F318" s="276"/>
      <c r="G318" s="276"/>
      <c r="H318" s="276"/>
    </row>
    <row r="319">
      <c r="A319" s="276"/>
      <c r="B319" s="276"/>
      <c r="C319" s="276"/>
      <c r="D319" s="277"/>
      <c r="E319" s="277"/>
      <c r="F319" s="276"/>
      <c r="G319" s="276"/>
      <c r="H319" s="276"/>
    </row>
    <row r="320">
      <c r="A320" s="276"/>
      <c r="B320" s="276"/>
      <c r="C320" s="276"/>
      <c r="D320" s="277"/>
      <c r="E320" s="277"/>
      <c r="F320" s="276"/>
      <c r="G320" s="276"/>
      <c r="H320" s="276"/>
    </row>
    <row r="321">
      <c r="A321" s="276"/>
      <c r="B321" s="276"/>
      <c r="C321" s="276"/>
      <c r="D321" s="277"/>
      <c r="E321" s="277"/>
      <c r="F321" s="276"/>
      <c r="G321" s="276"/>
      <c r="H321" s="276"/>
    </row>
    <row r="322">
      <c r="A322" s="276"/>
      <c r="B322" s="276"/>
      <c r="C322" s="276"/>
      <c r="D322" s="277"/>
      <c r="E322" s="277"/>
      <c r="F322" s="276"/>
      <c r="G322" s="276"/>
      <c r="H322" s="276"/>
    </row>
    <row r="323">
      <c r="A323" s="276"/>
      <c r="B323" s="276"/>
      <c r="C323" s="276"/>
      <c r="D323" s="277"/>
      <c r="E323" s="277"/>
      <c r="F323" s="276"/>
      <c r="G323" s="276"/>
      <c r="H323" s="276"/>
    </row>
    <row r="324">
      <c r="A324" s="276"/>
      <c r="B324" s="276"/>
      <c r="C324" s="276"/>
      <c r="D324" s="277"/>
      <c r="E324" s="277"/>
      <c r="F324" s="276"/>
      <c r="G324" s="276"/>
      <c r="H324" s="276"/>
    </row>
    <row r="325">
      <c r="A325" s="276"/>
      <c r="B325" s="276"/>
      <c r="C325" s="276"/>
      <c r="D325" s="277"/>
      <c r="E325" s="277"/>
      <c r="F325" s="276"/>
      <c r="G325" s="276"/>
      <c r="H325" s="276"/>
    </row>
    <row r="326">
      <c r="A326" s="276"/>
      <c r="B326" s="276"/>
      <c r="C326" s="276"/>
      <c r="D326" s="277"/>
      <c r="E326" s="277"/>
      <c r="F326" s="276"/>
      <c r="G326" s="276"/>
      <c r="H326" s="276"/>
    </row>
    <row r="327">
      <c r="A327" s="276"/>
      <c r="B327" s="276"/>
      <c r="C327" s="276"/>
      <c r="D327" s="277"/>
      <c r="E327" s="277"/>
      <c r="F327" s="276"/>
      <c r="G327" s="276"/>
      <c r="H327" s="276"/>
    </row>
    <row r="328">
      <c r="A328" s="276"/>
      <c r="B328" s="276"/>
      <c r="C328" s="276"/>
      <c r="D328" s="277"/>
      <c r="E328" s="277"/>
      <c r="F328" s="276"/>
      <c r="G328" s="276"/>
      <c r="H328" s="276"/>
    </row>
    <row r="329">
      <c r="A329" s="276"/>
      <c r="B329" s="276"/>
      <c r="C329" s="276"/>
      <c r="D329" s="277"/>
      <c r="E329" s="277"/>
      <c r="F329" s="276"/>
      <c r="G329" s="276"/>
      <c r="H329" s="276"/>
    </row>
    <row r="330">
      <c r="A330" s="276"/>
      <c r="B330" s="276"/>
      <c r="C330" s="276"/>
      <c r="D330" s="277"/>
      <c r="E330" s="277"/>
      <c r="F330" s="276"/>
      <c r="G330" s="276"/>
      <c r="H330" s="276"/>
    </row>
    <row r="331">
      <c r="A331" s="276"/>
      <c r="B331" s="276"/>
      <c r="C331" s="276"/>
      <c r="D331" s="277"/>
      <c r="E331" s="277"/>
      <c r="F331" s="276"/>
      <c r="G331" s="276"/>
      <c r="H331" s="276"/>
    </row>
    <row r="332">
      <c r="A332" s="276"/>
      <c r="B332" s="276"/>
      <c r="C332" s="276"/>
      <c r="D332" s="277"/>
      <c r="E332" s="277"/>
      <c r="F332" s="276"/>
      <c r="G332" s="276"/>
      <c r="H332" s="276"/>
    </row>
    <row r="333">
      <c r="A333" s="276"/>
      <c r="B333" s="276"/>
      <c r="C333" s="276"/>
      <c r="D333" s="277"/>
      <c r="E333" s="277"/>
      <c r="F333" s="276"/>
      <c r="G333" s="276"/>
      <c r="H333" s="276"/>
    </row>
    <row r="334">
      <c r="A334" s="276"/>
      <c r="B334" s="276"/>
      <c r="C334" s="276"/>
      <c r="D334" s="277"/>
      <c r="E334" s="277"/>
      <c r="F334" s="276"/>
      <c r="G334" s="276"/>
      <c r="H334" s="276"/>
    </row>
    <row r="335">
      <c r="A335" s="276"/>
      <c r="B335" s="276"/>
      <c r="C335" s="276"/>
      <c r="D335" s="277"/>
      <c r="E335" s="277"/>
      <c r="F335" s="276"/>
      <c r="G335" s="276"/>
      <c r="H335" s="276"/>
    </row>
    <row r="336">
      <c r="A336" s="276"/>
      <c r="B336" s="276"/>
      <c r="C336" s="276"/>
      <c r="D336" s="277"/>
      <c r="E336" s="277"/>
      <c r="F336" s="276"/>
      <c r="G336" s="276"/>
      <c r="H336" s="276"/>
    </row>
    <row r="337">
      <c r="A337" s="276"/>
      <c r="B337" s="276"/>
      <c r="C337" s="276"/>
      <c r="D337" s="277"/>
      <c r="E337" s="277"/>
      <c r="F337" s="276"/>
      <c r="G337" s="276"/>
      <c r="H337" s="276"/>
    </row>
    <row r="338">
      <c r="A338" s="276"/>
      <c r="B338" s="276"/>
      <c r="C338" s="276"/>
      <c r="D338" s="277"/>
      <c r="E338" s="277"/>
      <c r="F338" s="276"/>
      <c r="G338" s="276"/>
      <c r="H338" s="276"/>
    </row>
    <row r="339">
      <c r="A339" s="276"/>
      <c r="B339" s="276"/>
      <c r="C339" s="276"/>
      <c r="D339" s="277"/>
      <c r="E339" s="277"/>
      <c r="F339" s="276"/>
      <c r="G339" s="276"/>
      <c r="H339" s="276"/>
    </row>
    <row r="340">
      <c r="A340" s="276"/>
      <c r="B340" s="276"/>
      <c r="C340" s="276"/>
      <c r="D340" s="277"/>
      <c r="E340" s="277"/>
      <c r="F340" s="276"/>
      <c r="G340" s="276"/>
      <c r="H340" s="276"/>
    </row>
    <row r="341">
      <c r="A341" s="276"/>
      <c r="B341" s="276"/>
      <c r="C341" s="276"/>
      <c r="D341" s="277"/>
      <c r="E341" s="277"/>
      <c r="F341" s="276"/>
      <c r="G341" s="276"/>
      <c r="H341" s="276"/>
    </row>
    <row r="342">
      <c r="A342" s="276"/>
      <c r="B342" s="276"/>
      <c r="C342" s="276"/>
      <c r="D342" s="277"/>
      <c r="E342" s="277"/>
      <c r="F342" s="276"/>
      <c r="G342" s="276"/>
      <c r="H342" s="276"/>
    </row>
    <row r="343">
      <c r="A343" s="276"/>
      <c r="B343" s="276"/>
      <c r="C343" s="276"/>
      <c r="D343" s="277"/>
      <c r="E343" s="277"/>
      <c r="F343" s="276"/>
      <c r="G343" s="276"/>
      <c r="H343" s="276"/>
    </row>
    <row r="344">
      <c r="A344" s="276"/>
      <c r="B344" s="276"/>
      <c r="C344" s="276"/>
      <c r="D344" s="277"/>
      <c r="E344" s="277"/>
      <c r="F344" s="276"/>
      <c r="G344" s="276"/>
      <c r="H344" s="276"/>
    </row>
    <row r="345">
      <c r="A345" s="276"/>
      <c r="B345" s="276"/>
      <c r="C345" s="276"/>
      <c r="D345" s="277"/>
      <c r="E345" s="277"/>
      <c r="F345" s="276"/>
      <c r="G345" s="276"/>
      <c r="H345" s="276"/>
    </row>
    <row r="346">
      <c r="A346" s="276"/>
      <c r="B346" s="276"/>
      <c r="C346" s="276"/>
      <c r="D346" s="277"/>
      <c r="E346" s="277"/>
      <c r="F346" s="276"/>
      <c r="G346" s="276"/>
      <c r="H346" s="276"/>
    </row>
    <row r="347">
      <c r="A347" s="276"/>
      <c r="B347" s="276"/>
      <c r="C347" s="276"/>
      <c r="D347" s="277"/>
      <c r="E347" s="277"/>
      <c r="F347" s="276"/>
      <c r="G347" s="276"/>
      <c r="H347" s="276"/>
    </row>
    <row r="348">
      <c r="A348" s="276"/>
      <c r="B348" s="276"/>
      <c r="C348" s="276"/>
      <c r="D348" s="277"/>
      <c r="E348" s="277"/>
      <c r="F348" s="276"/>
      <c r="G348" s="276"/>
      <c r="H348" s="276"/>
    </row>
    <row r="349">
      <c r="A349" s="276"/>
      <c r="B349" s="276"/>
      <c r="C349" s="276"/>
      <c r="D349" s="277"/>
      <c r="E349" s="277"/>
      <c r="F349" s="276"/>
      <c r="G349" s="276"/>
      <c r="H349" s="276"/>
    </row>
    <row r="350">
      <c r="A350" s="276"/>
      <c r="B350" s="276"/>
      <c r="C350" s="276"/>
      <c r="D350" s="277"/>
      <c r="E350" s="277"/>
      <c r="F350" s="276"/>
      <c r="G350" s="276"/>
      <c r="H350" s="276"/>
    </row>
    <row r="351">
      <c r="A351" s="276"/>
      <c r="B351" s="276"/>
      <c r="C351" s="276"/>
      <c r="D351" s="277"/>
      <c r="E351" s="277"/>
      <c r="F351" s="276"/>
      <c r="G351" s="276"/>
      <c r="H351" s="276"/>
    </row>
    <row r="352">
      <c r="A352" s="276"/>
      <c r="B352" s="276"/>
      <c r="C352" s="276"/>
      <c r="D352" s="277"/>
      <c r="E352" s="277"/>
      <c r="F352" s="276"/>
      <c r="G352" s="276"/>
      <c r="H352" s="276"/>
    </row>
    <row r="353">
      <c r="A353" s="276"/>
      <c r="B353" s="276"/>
      <c r="C353" s="276"/>
      <c r="D353" s="277"/>
      <c r="E353" s="277"/>
      <c r="F353" s="276"/>
      <c r="G353" s="276"/>
      <c r="H353" s="276"/>
    </row>
    <row r="354">
      <c r="A354" s="276"/>
      <c r="B354" s="276"/>
      <c r="C354" s="276"/>
      <c r="D354" s="277"/>
      <c r="E354" s="277"/>
      <c r="F354" s="276"/>
      <c r="G354" s="276"/>
      <c r="H354" s="276"/>
    </row>
    <row r="355">
      <c r="A355" s="276"/>
      <c r="B355" s="276"/>
      <c r="C355" s="276"/>
      <c r="D355" s="277"/>
      <c r="E355" s="277"/>
      <c r="F355" s="276"/>
      <c r="G355" s="276"/>
      <c r="H355" s="276"/>
    </row>
    <row r="356">
      <c r="A356" s="276"/>
      <c r="B356" s="276"/>
      <c r="C356" s="276"/>
      <c r="D356" s="277"/>
      <c r="E356" s="277"/>
      <c r="F356" s="276"/>
      <c r="G356" s="276"/>
      <c r="H356" s="276"/>
    </row>
    <row r="357">
      <c r="A357" s="276"/>
      <c r="B357" s="276"/>
      <c r="C357" s="276"/>
      <c r="D357" s="277"/>
      <c r="E357" s="277"/>
      <c r="F357" s="276"/>
      <c r="G357" s="276"/>
      <c r="H357" s="276"/>
    </row>
    <row r="358">
      <c r="A358" s="276"/>
      <c r="B358" s="276"/>
      <c r="C358" s="276"/>
      <c r="D358" s="277"/>
      <c r="E358" s="277"/>
      <c r="F358" s="276"/>
      <c r="G358" s="276"/>
      <c r="H358" s="276"/>
    </row>
    <row r="359">
      <c r="A359" s="276"/>
      <c r="B359" s="276"/>
      <c r="C359" s="276"/>
      <c r="D359" s="277"/>
      <c r="E359" s="277"/>
      <c r="F359" s="276"/>
      <c r="G359" s="276"/>
      <c r="H359" s="276"/>
    </row>
    <row r="360">
      <c r="A360" s="276"/>
      <c r="B360" s="276"/>
      <c r="C360" s="276"/>
      <c r="D360" s="277"/>
      <c r="E360" s="277"/>
      <c r="F360" s="276"/>
      <c r="G360" s="276"/>
      <c r="H360" s="276"/>
    </row>
    <row r="361">
      <c r="A361" s="276"/>
      <c r="B361" s="276"/>
      <c r="C361" s="276"/>
      <c r="D361" s="277"/>
      <c r="E361" s="277"/>
      <c r="F361" s="276"/>
      <c r="G361" s="276"/>
      <c r="H361" s="276"/>
    </row>
    <row r="362">
      <c r="A362" s="276"/>
      <c r="B362" s="276"/>
      <c r="C362" s="276"/>
      <c r="D362" s="277"/>
      <c r="E362" s="277"/>
      <c r="F362" s="276"/>
      <c r="G362" s="276"/>
      <c r="H362" s="276"/>
    </row>
    <row r="363">
      <c r="A363" s="276"/>
      <c r="B363" s="276"/>
      <c r="C363" s="276"/>
      <c r="D363" s="277"/>
      <c r="E363" s="277"/>
      <c r="F363" s="276"/>
      <c r="G363" s="276"/>
      <c r="H363" s="276"/>
    </row>
    <row r="364">
      <c r="A364" s="276"/>
      <c r="B364" s="276"/>
      <c r="C364" s="276"/>
      <c r="D364" s="277"/>
      <c r="E364" s="277"/>
      <c r="F364" s="276"/>
      <c r="G364" s="276"/>
      <c r="H364" s="276"/>
    </row>
    <row r="365">
      <c r="A365" s="276"/>
      <c r="B365" s="276"/>
      <c r="C365" s="276"/>
      <c r="D365" s="277"/>
      <c r="E365" s="277"/>
      <c r="F365" s="276"/>
      <c r="G365" s="276"/>
      <c r="H365" s="276"/>
    </row>
    <row r="366">
      <c r="A366" s="276"/>
      <c r="B366" s="276"/>
      <c r="C366" s="276"/>
      <c r="D366" s="277"/>
      <c r="E366" s="277"/>
      <c r="F366" s="276"/>
      <c r="G366" s="276"/>
      <c r="H366" s="276"/>
    </row>
    <row r="367">
      <c r="A367" s="276"/>
      <c r="B367" s="276"/>
      <c r="C367" s="276"/>
      <c r="D367" s="277"/>
      <c r="E367" s="277"/>
      <c r="F367" s="276"/>
      <c r="G367" s="276"/>
      <c r="H367" s="276"/>
    </row>
    <row r="368">
      <c r="A368" s="276"/>
      <c r="B368" s="276"/>
      <c r="C368" s="276"/>
      <c r="D368" s="277"/>
      <c r="E368" s="277"/>
      <c r="F368" s="276"/>
      <c r="G368" s="276"/>
      <c r="H368" s="276"/>
    </row>
    <row r="369">
      <c r="A369" s="276"/>
      <c r="B369" s="276"/>
      <c r="C369" s="276"/>
      <c r="D369" s="277"/>
      <c r="E369" s="277"/>
      <c r="F369" s="276"/>
      <c r="G369" s="276"/>
      <c r="H369" s="276"/>
    </row>
    <row r="370">
      <c r="A370" s="276"/>
      <c r="B370" s="276"/>
      <c r="C370" s="276"/>
      <c r="D370" s="277"/>
      <c r="E370" s="277"/>
      <c r="F370" s="276"/>
      <c r="G370" s="276"/>
      <c r="H370" s="276"/>
    </row>
    <row r="371">
      <c r="A371" s="276"/>
      <c r="B371" s="276"/>
      <c r="C371" s="276"/>
      <c r="D371" s="277"/>
      <c r="E371" s="277"/>
      <c r="F371" s="276"/>
      <c r="G371" s="276"/>
      <c r="H371" s="276"/>
    </row>
    <row r="372">
      <c r="A372" s="276"/>
      <c r="B372" s="276"/>
      <c r="C372" s="276"/>
      <c r="D372" s="277"/>
      <c r="E372" s="277"/>
      <c r="F372" s="276"/>
      <c r="G372" s="276"/>
      <c r="H372" s="276"/>
    </row>
    <row r="373">
      <c r="A373" s="276"/>
      <c r="B373" s="276"/>
      <c r="C373" s="276"/>
      <c r="D373" s="277"/>
      <c r="E373" s="277"/>
      <c r="F373" s="276"/>
      <c r="G373" s="276"/>
      <c r="H373" s="276"/>
    </row>
    <row r="374">
      <c r="A374" s="276"/>
      <c r="B374" s="276"/>
      <c r="C374" s="276"/>
      <c r="D374" s="277"/>
      <c r="E374" s="277"/>
      <c r="F374" s="276"/>
      <c r="G374" s="276"/>
      <c r="H374" s="276"/>
    </row>
    <row r="375">
      <c r="A375" s="276"/>
      <c r="B375" s="276"/>
      <c r="C375" s="276"/>
      <c r="D375" s="277"/>
      <c r="E375" s="277"/>
      <c r="F375" s="276"/>
      <c r="G375" s="276"/>
      <c r="H375" s="276"/>
    </row>
    <row r="376">
      <c r="A376" s="276"/>
      <c r="B376" s="276"/>
      <c r="C376" s="276"/>
      <c r="D376" s="277"/>
      <c r="E376" s="277"/>
      <c r="F376" s="276"/>
      <c r="G376" s="276"/>
      <c r="H376" s="276"/>
    </row>
    <row r="377">
      <c r="A377" s="276"/>
      <c r="B377" s="276"/>
      <c r="C377" s="276"/>
      <c r="D377" s="277"/>
      <c r="E377" s="277"/>
      <c r="F377" s="276"/>
      <c r="G377" s="276"/>
      <c r="H377" s="276"/>
    </row>
    <row r="378">
      <c r="A378" s="276"/>
      <c r="B378" s="276"/>
      <c r="C378" s="276"/>
      <c r="D378" s="277"/>
      <c r="E378" s="277"/>
      <c r="F378" s="276"/>
      <c r="G378" s="276"/>
      <c r="H378" s="276"/>
    </row>
    <row r="379">
      <c r="A379" s="276"/>
      <c r="B379" s="276"/>
      <c r="C379" s="276"/>
      <c r="D379" s="277"/>
      <c r="E379" s="277"/>
      <c r="F379" s="276"/>
      <c r="G379" s="276"/>
      <c r="H379" s="276"/>
    </row>
    <row r="380">
      <c r="A380" s="276"/>
      <c r="B380" s="276"/>
      <c r="C380" s="276"/>
      <c r="D380" s="277"/>
      <c r="E380" s="277"/>
      <c r="F380" s="276"/>
      <c r="G380" s="276"/>
      <c r="H380" s="276"/>
    </row>
    <row r="381">
      <c r="A381" s="276"/>
      <c r="B381" s="276"/>
      <c r="C381" s="276"/>
      <c r="D381" s="277"/>
      <c r="E381" s="277"/>
      <c r="F381" s="276"/>
      <c r="G381" s="276"/>
      <c r="H381" s="276"/>
    </row>
    <row r="382">
      <c r="A382" s="276"/>
      <c r="B382" s="276"/>
      <c r="C382" s="276"/>
      <c r="D382" s="277"/>
      <c r="E382" s="277"/>
      <c r="F382" s="276"/>
      <c r="G382" s="276"/>
      <c r="H382" s="276"/>
    </row>
    <row r="383">
      <c r="A383" s="276"/>
      <c r="B383" s="276"/>
      <c r="C383" s="276"/>
      <c r="D383" s="277"/>
      <c r="E383" s="277"/>
      <c r="F383" s="276"/>
      <c r="G383" s="276"/>
      <c r="H383" s="276"/>
    </row>
    <row r="384">
      <c r="A384" s="276"/>
      <c r="B384" s="276"/>
      <c r="C384" s="276"/>
      <c r="D384" s="277"/>
      <c r="E384" s="277"/>
      <c r="F384" s="276"/>
      <c r="G384" s="276"/>
      <c r="H384" s="276"/>
    </row>
    <row r="385">
      <c r="A385" s="276"/>
      <c r="B385" s="276"/>
      <c r="C385" s="276"/>
      <c r="D385" s="277"/>
      <c r="E385" s="277"/>
      <c r="F385" s="276"/>
      <c r="G385" s="276"/>
      <c r="H385" s="276"/>
    </row>
    <row r="386">
      <c r="A386" s="276"/>
      <c r="B386" s="276"/>
      <c r="C386" s="276"/>
      <c r="D386" s="277"/>
      <c r="E386" s="277"/>
      <c r="F386" s="276"/>
      <c r="G386" s="276"/>
      <c r="H386" s="276"/>
    </row>
    <row r="387">
      <c r="A387" s="276"/>
      <c r="B387" s="276"/>
      <c r="C387" s="276"/>
      <c r="D387" s="277"/>
      <c r="E387" s="277"/>
      <c r="F387" s="276"/>
      <c r="G387" s="276"/>
      <c r="H387" s="276"/>
    </row>
    <row r="388">
      <c r="A388" s="276"/>
      <c r="B388" s="276"/>
      <c r="C388" s="276"/>
      <c r="D388" s="277"/>
      <c r="E388" s="277"/>
      <c r="F388" s="276"/>
      <c r="G388" s="276"/>
      <c r="H388" s="276"/>
    </row>
    <row r="389">
      <c r="A389" s="276"/>
      <c r="B389" s="276"/>
      <c r="C389" s="276"/>
      <c r="D389" s="277"/>
      <c r="E389" s="277"/>
      <c r="F389" s="276"/>
      <c r="G389" s="276"/>
      <c r="H389" s="276"/>
    </row>
    <row r="390">
      <c r="A390" s="276"/>
      <c r="B390" s="276"/>
      <c r="C390" s="276"/>
      <c r="D390" s="277"/>
      <c r="E390" s="277"/>
      <c r="F390" s="276"/>
      <c r="G390" s="276"/>
      <c r="H390" s="276"/>
    </row>
    <row r="391">
      <c r="A391" s="276"/>
      <c r="B391" s="276"/>
      <c r="C391" s="276"/>
      <c r="D391" s="277"/>
      <c r="E391" s="277"/>
      <c r="F391" s="276"/>
      <c r="G391" s="276"/>
      <c r="H391" s="276"/>
    </row>
    <row r="392">
      <c r="A392" s="276"/>
      <c r="B392" s="276"/>
      <c r="C392" s="276"/>
      <c r="D392" s="277"/>
      <c r="E392" s="277"/>
      <c r="F392" s="276"/>
      <c r="G392" s="276"/>
      <c r="H392" s="276"/>
    </row>
    <row r="393">
      <c r="A393" s="276"/>
      <c r="B393" s="276"/>
      <c r="C393" s="276"/>
      <c r="D393" s="277"/>
      <c r="E393" s="277"/>
      <c r="F393" s="276"/>
      <c r="G393" s="276"/>
      <c r="H393" s="276"/>
    </row>
    <row r="394">
      <c r="A394" s="276"/>
      <c r="B394" s="276"/>
      <c r="C394" s="276"/>
      <c r="D394" s="277"/>
      <c r="E394" s="277"/>
      <c r="F394" s="276"/>
      <c r="G394" s="276"/>
      <c r="H394" s="276"/>
    </row>
    <row r="395">
      <c r="A395" s="276"/>
      <c r="B395" s="276"/>
      <c r="C395" s="276"/>
      <c r="D395" s="277"/>
      <c r="E395" s="277"/>
      <c r="F395" s="276"/>
      <c r="G395" s="276"/>
      <c r="H395" s="276"/>
    </row>
    <row r="396">
      <c r="A396" s="276"/>
      <c r="B396" s="276"/>
      <c r="C396" s="276"/>
      <c r="D396" s="277"/>
      <c r="E396" s="277"/>
      <c r="F396" s="276"/>
      <c r="G396" s="276"/>
      <c r="H396" s="276"/>
    </row>
    <row r="397">
      <c r="A397" s="276"/>
      <c r="B397" s="276"/>
      <c r="C397" s="276"/>
      <c r="D397" s="277"/>
      <c r="E397" s="277"/>
      <c r="F397" s="276"/>
      <c r="G397" s="276"/>
      <c r="H397" s="276"/>
    </row>
    <row r="398">
      <c r="A398" s="276"/>
      <c r="B398" s="276"/>
      <c r="C398" s="276"/>
      <c r="D398" s="277"/>
      <c r="E398" s="277"/>
      <c r="F398" s="276"/>
      <c r="G398" s="276"/>
      <c r="H398" s="276"/>
    </row>
    <row r="399">
      <c r="A399" s="276"/>
      <c r="B399" s="276"/>
      <c r="C399" s="276"/>
      <c r="D399" s="277"/>
      <c r="E399" s="277"/>
      <c r="F399" s="276"/>
      <c r="G399" s="276"/>
      <c r="H399" s="276"/>
    </row>
    <row r="400">
      <c r="A400" s="276"/>
      <c r="B400" s="276"/>
      <c r="C400" s="276"/>
      <c r="D400" s="277"/>
      <c r="E400" s="277"/>
      <c r="F400" s="276"/>
      <c r="G400" s="276"/>
      <c r="H400" s="276"/>
    </row>
    <row r="401">
      <c r="A401" s="276"/>
      <c r="B401" s="276"/>
      <c r="C401" s="276"/>
      <c r="D401" s="277"/>
      <c r="E401" s="277"/>
      <c r="F401" s="276"/>
      <c r="G401" s="276"/>
      <c r="H401" s="276"/>
    </row>
    <row r="402">
      <c r="A402" s="276"/>
      <c r="B402" s="276"/>
      <c r="C402" s="276"/>
      <c r="D402" s="277"/>
      <c r="E402" s="277"/>
      <c r="F402" s="276"/>
      <c r="G402" s="276"/>
      <c r="H402" s="276"/>
    </row>
    <row r="403">
      <c r="A403" s="276"/>
      <c r="B403" s="276"/>
      <c r="C403" s="276"/>
      <c r="D403" s="277"/>
      <c r="E403" s="277"/>
      <c r="F403" s="276"/>
      <c r="G403" s="276"/>
      <c r="H403" s="276"/>
    </row>
    <row r="404">
      <c r="A404" s="276"/>
      <c r="B404" s="276"/>
      <c r="C404" s="276"/>
      <c r="D404" s="277"/>
      <c r="E404" s="277"/>
      <c r="F404" s="276"/>
      <c r="G404" s="276"/>
      <c r="H404" s="276"/>
    </row>
    <row r="405">
      <c r="A405" s="276"/>
      <c r="B405" s="276"/>
      <c r="C405" s="276"/>
      <c r="D405" s="277"/>
      <c r="E405" s="277"/>
      <c r="F405" s="276"/>
      <c r="G405" s="276"/>
      <c r="H405" s="276"/>
    </row>
    <row r="406">
      <c r="A406" s="276"/>
      <c r="B406" s="276"/>
      <c r="C406" s="276"/>
      <c r="D406" s="277"/>
      <c r="E406" s="277"/>
      <c r="F406" s="276"/>
      <c r="G406" s="276"/>
      <c r="H406" s="276"/>
    </row>
    <row r="407">
      <c r="A407" s="276"/>
      <c r="B407" s="276"/>
      <c r="C407" s="276"/>
      <c r="D407" s="277"/>
      <c r="E407" s="277"/>
      <c r="F407" s="276"/>
      <c r="G407" s="276"/>
      <c r="H407" s="276"/>
    </row>
    <row r="408">
      <c r="A408" s="276"/>
      <c r="B408" s="276"/>
      <c r="C408" s="276"/>
      <c r="D408" s="277"/>
      <c r="E408" s="277"/>
      <c r="F408" s="276"/>
      <c r="G408" s="276"/>
      <c r="H408" s="276"/>
    </row>
    <row r="409">
      <c r="A409" s="276"/>
      <c r="B409" s="276"/>
      <c r="C409" s="276"/>
      <c r="D409" s="277"/>
      <c r="E409" s="277"/>
      <c r="F409" s="276"/>
      <c r="G409" s="276"/>
      <c r="H409" s="276"/>
    </row>
    <row r="410">
      <c r="A410" s="276"/>
      <c r="B410" s="276"/>
      <c r="C410" s="276"/>
      <c r="D410" s="277"/>
      <c r="E410" s="277"/>
      <c r="F410" s="276"/>
      <c r="G410" s="276"/>
      <c r="H410" s="276"/>
    </row>
    <row r="411">
      <c r="A411" s="276"/>
      <c r="B411" s="276"/>
      <c r="C411" s="276"/>
      <c r="D411" s="277"/>
      <c r="E411" s="277"/>
      <c r="F411" s="276"/>
      <c r="G411" s="276"/>
      <c r="H411" s="276"/>
    </row>
    <row r="412">
      <c r="A412" s="276"/>
      <c r="B412" s="276"/>
      <c r="C412" s="276"/>
      <c r="D412" s="277"/>
      <c r="E412" s="277"/>
      <c r="F412" s="276"/>
      <c r="G412" s="276"/>
      <c r="H412" s="276"/>
    </row>
    <row r="413">
      <c r="A413" s="276"/>
      <c r="B413" s="276"/>
      <c r="C413" s="276"/>
      <c r="D413" s="277"/>
      <c r="E413" s="277"/>
      <c r="F413" s="276"/>
      <c r="G413" s="276"/>
      <c r="H413" s="276"/>
    </row>
    <row r="414">
      <c r="A414" s="276"/>
      <c r="B414" s="276"/>
      <c r="C414" s="276"/>
      <c r="D414" s="277"/>
      <c r="E414" s="277"/>
      <c r="F414" s="276"/>
      <c r="G414" s="276"/>
      <c r="H414" s="276"/>
    </row>
    <row r="415">
      <c r="A415" s="276"/>
      <c r="B415" s="276"/>
      <c r="C415" s="276"/>
      <c r="D415" s="277"/>
      <c r="E415" s="277"/>
      <c r="F415" s="276"/>
      <c r="G415" s="276"/>
      <c r="H415" s="276"/>
    </row>
    <row r="416">
      <c r="A416" s="276"/>
      <c r="B416" s="276"/>
      <c r="C416" s="276"/>
      <c r="D416" s="277"/>
      <c r="E416" s="277"/>
      <c r="F416" s="276"/>
      <c r="G416" s="276"/>
      <c r="H416" s="276"/>
    </row>
    <row r="417">
      <c r="A417" s="276"/>
      <c r="B417" s="276"/>
      <c r="C417" s="276"/>
      <c r="D417" s="277"/>
      <c r="E417" s="277"/>
      <c r="F417" s="276"/>
      <c r="G417" s="276"/>
      <c r="H417" s="276"/>
    </row>
    <row r="418">
      <c r="A418" s="276"/>
      <c r="B418" s="276"/>
      <c r="C418" s="276"/>
      <c r="D418" s="277"/>
      <c r="E418" s="277"/>
      <c r="F418" s="276"/>
      <c r="G418" s="276"/>
      <c r="H418" s="276"/>
    </row>
    <row r="419">
      <c r="A419" s="276"/>
      <c r="B419" s="276"/>
      <c r="C419" s="276"/>
      <c r="D419" s="277"/>
      <c r="E419" s="277"/>
      <c r="F419" s="276"/>
      <c r="G419" s="276"/>
      <c r="H419" s="276"/>
    </row>
    <row r="420">
      <c r="A420" s="276"/>
      <c r="B420" s="276"/>
      <c r="C420" s="276"/>
      <c r="D420" s="277"/>
      <c r="E420" s="277"/>
      <c r="F420" s="276"/>
      <c r="G420" s="276"/>
      <c r="H420" s="276"/>
    </row>
    <row r="421">
      <c r="A421" s="276"/>
      <c r="B421" s="276"/>
      <c r="C421" s="276"/>
      <c r="D421" s="277"/>
      <c r="E421" s="277"/>
      <c r="F421" s="276"/>
      <c r="G421" s="276"/>
      <c r="H421" s="276"/>
    </row>
    <row r="422">
      <c r="A422" s="276"/>
      <c r="B422" s="276"/>
      <c r="C422" s="276"/>
      <c r="D422" s="277"/>
      <c r="E422" s="277"/>
      <c r="F422" s="276"/>
      <c r="G422" s="276"/>
      <c r="H422" s="276"/>
    </row>
    <row r="423">
      <c r="A423" s="276"/>
      <c r="B423" s="276"/>
      <c r="C423" s="276"/>
      <c r="D423" s="277"/>
      <c r="E423" s="277"/>
      <c r="F423" s="276"/>
      <c r="G423" s="276"/>
      <c r="H423" s="276"/>
    </row>
    <row r="424">
      <c r="A424" s="276"/>
      <c r="B424" s="276"/>
      <c r="C424" s="276"/>
      <c r="D424" s="277"/>
      <c r="E424" s="277"/>
      <c r="F424" s="276"/>
      <c r="G424" s="276"/>
      <c r="H424" s="276"/>
    </row>
    <row r="425">
      <c r="A425" s="276"/>
      <c r="B425" s="276"/>
      <c r="C425" s="276"/>
      <c r="D425" s="277"/>
      <c r="E425" s="277"/>
      <c r="F425" s="276"/>
      <c r="G425" s="276"/>
      <c r="H425" s="276"/>
    </row>
    <row r="426">
      <c r="A426" s="276"/>
      <c r="B426" s="276"/>
      <c r="C426" s="276"/>
      <c r="D426" s="277"/>
      <c r="E426" s="277"/>
      <c r="F426" s="276"/>
      <c r="G426" s="276"/>
      <c r="H426" s="276"/>
    </row>
    <row r="427">
      <c r="A427" s="276"/>
      <c r="B427" s="276"/>
      <c r="C427" s="276"/>
      <c r="D427" s="277"/>
      <c r="E427" s="277"/>
      <c r="F427" s="276"/>
      <c r="G427" s="276"/>
      <c r="H427" s="276"/>
    </row>
    <row r="428">
      <c r="A428" s="276"/>
      <c r="B428" s="276"/>
      <c r="C428" s="276"/>
      <c r="D428" s="277"/>
      <c r="E428" s="277"/>
      <c r="F428" s="276"/>
      <c r="G428" s="276"/>
      <c r="H428" s="276"/>
    </row>
    <row r="429">
      <c r="A429" s="276"/>
      <c r="B429" s="276"/>
      <c r="C429" s="276"/>
      <c r="D429" s="277"/>
      <c r="E429" s="277"/>
      <c r="F429" s="276"/>
      <c r="G429" s="276"/>
      <c r="H429" s="276"/>
    </row>
    <row r="430">
      <c r="A430" s="276"/>
      <c r="B430" s="276"/>
      <c r="C430" s="276"/>
      <c r="D430" s="277"/>
      <c r="E430" s="277"/>
      <c r="F430" s="276"/>
      <c r="G430" s="276"/>
      <c r="H430" s="276"/>
    </row>
    <row r="431">
      <c r="A431" s="276"/>
      <c r="B431" s="276"/>
      <c r="C431" s="276"/>
      <c r="D431" s="277"/>
      <c r="E431" s="277"/>
      <c r="F431" s="276"/>
      <c r="G431" s="276"/>
      <c r="H431" s="276"/>
    </row>
    <row r="432">
      <c r="A432" s="276"/>
      <c r="B432" s="276"/>
      <c r="C432" s="276"/>
      <c r="D432" s="277"/>
      <c r="E432" s="277"/>
      <c r="F432" s="276"/>
      <c r="G432" s="276"/>
      <c r="H432" s="276"/>
    </row>
    <row r="433">
      <c r="A433" s="276"/>
      <c r="B433" s="276"/>
      <c r="C433" s="276"/>
      <c r="D433" s="277"/>
      <c r="E433" s="277"/>
      <c r="F433" s="276"/>
      <c r="G433" s="276"/>
      <c r="H433" s="276"/>
    </row>
    <row r="434">
      <c r="A434" s="276"/>
      <c r="B434" s="276"/>
      <c r="C434" s="276"/>
      <c r="D434" s="277"/>
      <c r="E434" s="277"/>
      <c r="F434" s="276"/>
      <c r="G434" s="276"/>
      <c r="H434" s="276"/>
    </row>
    <row r="435">
      <c r="A435" s="276"/>
      <c r="B435" s="276"/>
      <c r="C435" s="276"/>
      <c r="D435" s="277"/>
      <c r="E435" s="277"/>
      <c r="F435" s="276"/>
      <c r="G435" s="276"/>
      <c r="H435" s="276"/>
    </row>
    <row r="436">
      <c r="A436" s="276"/>
      <c r="B436" s="276"/>
      <c r="C436" s="276"/>
      <c r="D436" s="277"/>
      <c r="E436" s="277"/>
      <c r="F436" s="276"/>
      <c r="G436" s="276"/>
      <c r="H436" s="276"/>
    </row>
    <row r="437">
      <c r="A437" s="276"/>
      <c r="B437" s="276"/>
      <c r="C437" s="276"/>
      <c r="D437" s="277"/>
      <c r="E437" s="277"/>
      <c r="F437" s="276"/>
      <c r="G437" s="276"/>
      <c r="H437" s="276"/>
    </row>
    <row r="438">
      <c r="A438" s="276"/>
      <c r="B438" s="276"/>
      <c r="C438" s="276"/>
      <c r="D438" s="277"/>
      <c r="E438" s="277"/>
      <c r="F438" s="276"/>
      <c r="G438" s="276"/>
      <c r="H438" s="276"/>
    </row>
    <row r="439">
      <c r="A439" s="276"/>
      <c r="B439" s="276"/>
      <c r="C439" s="276"/>
      <c r="D439" s="277"/>
      <c r="E439" s="277"/>
      <c r="F439" s="276"/>
      <c r="G439" s="276"/>
      <c r="H439" s="276"/>
    </row>
    <row r="440">
      <c r="A440" s="276"/>
      <c r="B440" s="276"/>
      <c r="C440" s="276"/>
      <c r="D440" s="277"/>
      <c r="E440" s="277"/>
      <c r="F440" s="276"/>
      <c r="G440" s="276"/>
      <c r="H440" s="276"/>
    </row>
    <row r="441">
      <c r="A441" s="276"/>
      <c r="B441" s="276"/>
      <c r="C441" s="276"/>
      <c r="D441" s="277"/>
      <c r="E441" s="277"/>
      <c r="F441" s="276"/>
      <c r="G441" s="276"/>
      <c r="H441" s="276"/>
    </row>
    <row r="442">
      <c r="A442" s="276"/>
      <c r="B442" s="276"/>
      <c r="C442" s="276"/>
      <c r="D442" s="277"/>
      <c r="E442" s="277"/>
      <c r="F442" s="276"/>
      <c r="G442" s="276"/>
      <c r="H442" s="276"/>
    </row>
    <row r="443">
      <c r="A443" s="276"/>
      <c r="B443" s="276"/>
      <c r="C443" s="276"/>
      <c r="D443" s="277"/>
      <c r="E443" s="277"/>
      <c r="F443" s="276"/>
      <c r="G443" s="276"/>
      <c r="H443" s="276"/>
    </row>
    <row r="444">
      <c r="A444" s="276"/>
      <c r="B444" s="276"/>
      <c r="C444" s="276"/>
      <c r="D444" s="277"/>
      <c r="E444" s="277"/>
      <c r="F444" s="276"/>
      <c r="G444" s="276"/>
      <c r="H444" s="276"/>
    </row>
    <row r="445">
      <c r="A445" s="276"/>
      <c r="B445" s="276"/>
      <c r="C445" s="276"/>
      <c r="D445" s="277"/>
      <c r="E445" s="277"/>
      <c r="F445" s="276"/>
      <c r="G445" s="276"/>
      <c r="H445" s="276"/>
    </row>
    <row r="446">
      <c r="A446" s="276"/>
      <c r="B446" s="276"/>
      <c r="C446" s="276"/>
      <c r="D446" s="277"/>
      <c r="E446" s="277"/>
      <c r="F446" s="276"/>
      <c r="G446" s="276"/>
      <c r="H446" s="276"/>
    </row>
    <row r="447">
      <c r="A447" s="276"/>
      <c r="B447" s="276"/>
      <c r="C447" s="276"/>
      <c r="D447" s="277"/>
      <c r="E447" s="277"/>
      <c r="F447" s="276"/>
      <c r="G447" s="276"/>
      <c r="H447" s="276"/>
    </row>
    <row r="448">
      <c r="A448" s="276"/>
      <c r="B448" s="276"/>
      <c r="C448" s="276"/>
      <c r="D448" s="277"/>
      <c r="E448" s="277"/>
      <c r="F448" s="276"/>
      <c r="G448" s="276"/>
      <c r="H448" s="276"/>
    </row>
    <row r="449">
      <c r="A449" s="276"/>
      <c r="B449" s="276"/>
      <c r="C449" s="276"/>
      <c r="D449" s="277"/>
      <c r="E449" s="277"/>
      <c r="F449" s="276"/>
      <c r="G449" s="276"/>
      <c r="H449" s="276"/>
    </row>
    <row r="450">
      <c r="A450" s="276"/>
      <c r="B450" s="276"/>
      <c r="C450" s="276"/>
      <c r="D450" s="277"/>
      <c r="E450" s="277"/>
      <c r="F450" s="276"/>
      <c r="G450" s="276"/>
      <c r="H450" s="276"/>
    </row>
    <row r="451">
      <c r="A451" s="276"/>
      <c r="B451" s="276"/>
      <c r="C451" s="276"/>
      <c r="D451" s="277"/>
      <c r="E451" s="277"/>
      <c r="F451" s="276"/>
      <c r="G451" s="276"/>
      <c r="H451" s="276"/>
    </row>
    <row r="452">
      <c r="A452" s="276"/>
      <c r="B452" s="276"/>
      <c r="C452" s="276"/>
      <c r="D452" s="277"/>
      <c r="E452" s="277"/>
      <c r="F452" s="276"/>
      <c r="G452" s="276"/>
      <c r="H452" s="276"/>
    </row>
    <row r="453">
      <c r="A453" s="276"/>
      <c r="B453" s="276"/>
      <c r="C453" s="276"/>
      <c r="D453" s="277"/>
      <c r="E453" s="277"/>
      <c r="F453" s="276"/>
      <c r="G453" s="276"/>
      <c r="H453" s="276"/>
    </row>
    <row r="454">
      <c r="A454" s="276"/>
      <c r="B454" s="276"/>
      <c r="C454" s="276"/>
      <c r="D454" s="277"/>
      <c r="E454" s="277"/>
      <c r="F454" s="276"/>
      <c r="G454" s="276"/>
      <c r="H454" s="276"/>
    </row>
    <row r="455">
      <c r="A455" s="276"/>
      <c r="B455" s="276"/>
      <c r="C455" s="276"/>
      <c r="D455" s="277"/>
      <c r="E455" s="277"/>
      <c r="F455" s="276"/>
      <c r="G455" s="276"/>
      <c r="H455" s="276"/>
    </row>
    <row r="456">
      <c r="A456" s="276"/>
      <c r="B456" s="276"/>
      <c r="C456" s="276"/>
      <c r="D456" s="277"/>
      <c r="E456" s="277"/>
      <c r="F456" s="276"/>
      <c r="G456" s="276"/>
      <c r="H456" s="276"/>
    </row>
    <row r="457">
      <c r="A457" s="276"/>
      <c r="B457" s="276"/>
      <c r="C457" s="276"/>
      <c r="D457" s="277"/>
      <c r="E457" s="277"/>
      <c r="F457" s="276"/>
      <c r="G457" s="276"/>
      <c r="H457" s="276"/>
    </row>
    <row r="458">
      <c r="A458" s="276"/>
      <c r="B458" s="276"/>
      <c r="C458" s="276"/>
      <c r="D458" s="277"/>
      <c r="E458" s="277"/>
      <c r="F458" s="276"/>
      <c r="G458" s="276"/>
      <c r="H458" s="276"/>
    </row>
    <row r="459">
      <c r="A459" s="276"/>
      <c r="B459" s="276"/>
      <c r="C459" s="276"/>
      <c r="D459" s="277"/>
      <c r="E459" s="277"/>
      <c r="F459" s="276"/>
      <c r="G459" s="276"/>
      <c r="H459" s="276"/>
    </row>
    <row r="460">
      <c r="A460" s="276"/>
      <c r="B460" s="276"/>
      <c r="C460" s="276"/>
      <c r="D460" s="277"/>
      <c r="E460" s="277"/>
      <c r="F460" s="276"/>
      <c r="G460" s="276"/>
      <c r="H460" s="276"/>
    </row>
    <row r="461">
      <c r="A461" s="276"/>
      <c r="B461" s="276"/>
      <c r="C461" s="276"/>
      <c r="D461" s="277"/>
      <c r="E461" s="277"/>
      <c r="F461" s="276"/>
      <c r="G461" s="276"/>
      <c r="H461" s="276"/>
    </row>
    <row r="462">
      <c r="A462" s="276"/>
      <c r="B462" s="276"/>
      <c r="C462" s="276"/>
      <c r="D462" s="277"/>
      <c r="E462" s="277"/>
      <c r="F462" s="276"/>
      <c r="G462" s="276"/>
      <c r="H462" s="276"/>
    </row>
    <row r="463">
      <c r="A463" s="276"/>
      <c r="B463" s="276"/>
      <c r="C463" s="276"/>
      <c r="D463" s="277"/>
      <c r="E463" s="277"/>
      <c r="F463" s="276"/>
      <c r="G463" s="276"/>
      <c r="H463" s="276"/>
    </row>
    <row r="464">
      <c r="A464" s="276"/>
      <c r="B464" s="276"/>
      <c r="C464" s="276"/>
      <c r="D464" s="277"/>
      <c r="E464" s="277"/>
      <c r="F464" s="276"/>
      <c r="G464" s="276"/>
      <c r="H464" s="276"/>
    </row>
    <row r="465">
      <c r="A465" s="276"/>
      <c r="B465" s="276"/>
      <c r="C465" s="276"/>
      <c r="D465" s="277"/>
      <c r="E465" s="277"/>
      <c r="F465" s="276"/>
      <c r="G465" s="276"/>
      <c r="H465" s="276"/>
    </row>
    <row r="466">
      <c r="A466" s="276"/>
      <c r="B466" s="276"/>
      <c r="C466" s="276"/>
      <c r="D466" s="277"/>
      <c r="E466" s="277"/>
      <c r="F466" s="276"/>
      <c r="G466" s="276"/>
      <c r="H466" s="276"/>
    </row>
    <row r="467">
      <c r="A467" s="276"/>
      <c r="B467" s="276"/>
      <c r="C467" s="276"/>
      <c r="D467" s="277"/>
      <c r="E467" s="277"/>
      <c r="F467" s="276"/>
      <c r="G467" s="276"/>
      <c r="H467" s="276"/>
    </row>
    <row r="468">
      <c r="A468" s="276"/>
      <c r="B468" s="276"/>
      <c r="C468" s="276"/>
      <c r="D468" s="277"/>
      <c r="E468" s="277"/>
      <c r="F468" s="276"/>
      <c r="G468" s="276"/>
      <c r="H468" s="276"/>
    </row>
    <row r="469">
      <c r="A469" s="276"/>
      <c r="B469" s="276"/>
      <c r="C469" s="276"/>
      <c r="D469" s="277"/>
      <c r="E469" s="277"/>
      <c r="F469" s="276"/>
      <c r="G469" s="276"/>
      <c r="H469" s="276"/>
    </row>
    <row r="470">
      <c r="A470" s="276"/>
      <c r="B470" s="276"/>
      <c r="C470" s="276"/>
      <c r="D470" s="277"/>
      <c r="E470" s="277"/>
      <c r="F470" s="276"/>
      <c r="G470" s="276"/>
      <c r="H470" s="276"/>
    </row>
    <row r="471">
      <c r="A471" s="276"/>
      <c r="B471" s="276"/>
      <c r="C471" s="276"/>
      <c r="D471" s="277"/>
      <c r="E471" s="277"/>
      <c r="F471" s="276"/>
      <c r="G471" s="276"/>
      <c r="H471" s="276"/>
    </row>
    <row r="472">
      <c r="A472" s="276"/>
      <c r="B472" s="276"/>
      <c r="C472" s="276"/>
      <c r="D472" s="277"/>
      <c r="E472" s="277"/>
      <c r="F472" s="276"/>
      <c r="G472" s="276"/>
      <c r="H472" s="276"/>
    </row>
    <row r="473">
      <c r="A473" s="276"/>
      <c r="B473" s="276"/>
      <c r="C473" s="276"/>
      <c r="D473" s="277"/>
      <c r="E473" s="277"/>
      <c r="F473" s="276"/>
      <c r="G473" s="276"/>
      <c r="H473" s="276"/>
    </row>
    <row r="474">
      <c r="A474" s="276"/>
      <c r="B474" s="276"/>
      <c r="C474" s="276"/>
      <c r="D474" s="277"/>
      <c r="E474" s="277"/>
      <c r="F474" s="276"/>
      <c r="G474" s="276"/>
      <c r="H474" s="276"/>
    </row>
    <row r="475">
      <c r="A475" s="276"/>
      <c r="B475" s="276"/>
      <c r="C475" s="276"/>
      <c r="D475" s="277"/>
      <c r="E475" s="277"/>
      <c r="F475" s="276"/>
      <c r="G475" s="276"/>
      <c r="H475" s="276"/>
    </row>
    <row r="476">
      <c r="A476" s="276"/>
      <c r="B476" s="276"/>
      <c r="C476" s="276"/>
      <c r="D476" s="277"/>
      <c r="E476" s="277"/>
      <c r="F476" s="276"/>
      <c r="G476" s="276"/>
      <c r="H476" s="276"/>
    </row>
    <row r="477">
      <c r="A477" s="276"/>
      <c r="B477" s="276"/>
      <c r="C477" s="276"/>
      <c r="D477" s="277"/>
      <c r="E477" s="277"/>
      <c r="F477" s="276"/>
      <c r="G477" s="276"/>
      <c r="H477" s="276"/>
    </row>
    <row r="478">
      <c r="A478" s="276"/>
      <c r="B478" s="276"/>
      <c r="C478" s="276"/>
      <c r="D478" s="277"/>
      <c r="E478" s="277"/>
      <c r="F478" s="276"/>
      <c r="G478" s="276"/>
      <c r="H478" s="276"/>
    </row>
    <row r="479">
      <c r="A479" s="276"/>
      <c r="B479" s="276"/>
      <c r="C479" s="276"/>
      <c r="D479" s="277"/>
      <c r="E479" s="277"/>
      <c r="F479" s="276"/>
      <c r="G479" s="276"/>
      <c r="H479" s="276"/>
    </row>
    <row r="480">
      <c r="A480" s="276"/>
      <c r="B480" s="276"/>
      <c r="C480" s="276"/>
      <c r="D480" s="277"/>
      <c r="E480" s="277"/>
      <c r="F480" s="276"/>
      <c r="G480" s="276"/>
      <c r="H480" s="276"/>
    </row>
    <row r="481">
      <c r="A481" s="276"/>
      <c r="B481" s="276"/>
      <c r="C481" s="276"/>
      <c r="D481" s="277"/>
      <c r="E481" s="277"/>
      <c r="F481" s="276"/>
      <c r="G481" s="276"/>
      <c r="H481" s="276"/>
    </row>
    <row r="482">
      <c r="A482" s="276"/>
      <c r="B482" s="276"/>
      <c r="C482" s="276"/>
      <c r="D482" s="277"/>
      <c r="E482" s="277"/>
      <c r="F482" s="276"/>
      <c r="G482" s="276"/>
      <c r="H482" s="276"/>
    </row>
    <row r="483">
      <c r="A483" s="276"/>
      <c r="B483" s="276"/>
      <c r="C483" s="276"/>
      <c r="D483" s="277"/>
      <c r="E483" s="277"/>
      <c r="F483" s="276"/>
      <c r="G483" s="276"/>
      <c r="H483" s="276"/>
    </row>
    <row r="484">
      <c r="A484" s="276"/>
      <c r="B484" s="276"/>
      <c r="C484" s="276"/>
      <c r="D484" s="277"/>
      <c r="E484" s="277"/>
      <c r="F484" s="276"/>
      <c r="G484" s="276"/>
      <c r="H484" s="276"/>
    </row>
    <row r="485">
      <c r="A485" s="276"/>
      <c r="B485" s="276"/>
      <c r="C485" s="276"/>
      <c r="D485" s="277"/>
      <c r="E485" s="277"/>
      <c r="F485" s="276"/>
      <c r="G485" s="276"/>
      <c r="H485" s="276"/>
    </row>
    <row r="486">
      <c r="A486" s="276"/>
      <c r="B486" s="276"/>
      <c r="C486" s="276"/>
      <c r="D486" s="277"/>
      <c r="E486" s="277"/>
      <c r="F486" s="276"/>
      <c r="G486" s="276"/>
      <c r="H486" s="276"/>
    </row>
    <row r="487">
      <c r="A487" s="276"/>
      <c r="B487" s="276"/>
      <c r="C487" s="276"/>
      <c r="D487" s="277"/>
      <c r="E487" s="277"/>
      <c r="F487" s="276"/>
      <c r="G487" s="276"/>
      <c r="H487" s="276"/>
    </row>
    <row r="488">
      <c r="A488" s="276"/>
      <c r="B488" s="276"/>
      <c r="C488" s="276"/>
      <c r="D488" s="277"/>
      <c r="E488" s="277"/>
      <c r="F488" s="276"/>
      <c r="G488" s="276"/>
      <c r="H488" s="276"/>
    </row>
    <row r="489">
      <c r="A489" s="276"/>
      <c r="B489" s="276"/>
      <c r="C489" s="276"/>
      <c r="D489" s="277"/>
      <c r="E489" s="277"/>
      <c r="F489" s="276"/>
      <c r="G489" s="276"/>
      <c r="H489" s="276"/>
    </row>
    <row r="490">
      <c r="A490" s="276"/>
      <c r="B490" s="276"/>
      <c r="C490" s="276"/>
      <c r="D490" s="277"/>
      <c r="E490" s="277"/>
      <c r="F490" s="276"/>
      <c r="G490" s="276"/>
      <c r="H490" s="276"/>
    </row>
    <row r="491">
      <c r="A491" s="276"/>
      <c r="B491" s="276"/>
      <c r="C491" s="276"/>
      <c r="D491" s="277"/>
      <c r="E491" s="277"/>
      <c r="F491" s="276"/>
      <c r="G491" s="276"/>
      <c r="H491" s="276"/>
    </row>
    <row r="492">
      <c r="A492" s="276"/>
      <c r="B492" s="276"/>
      <c r="C492" s="276"/>
      <c r="D492" s="277"/>
      <c r="E492" s="277"/>
      <c r="F492" s="276"/>
      <c r="G492" s="276"/>
      <c r="H492" s="276"/>
    </row>
    <row r="493">
      <c r="A493" s="276"/>
      <c r="B493" s="276"/>
      <c r="C493" s="276"/>
      <c r="D493" s="277"/>
      <c r="E493" s="277"/>
      <c r="F493" s="276"/>
      <c r="G493" s="276"/>
      <c r="H493" s="276"/>
    </row>
    <row r="494">
      <c r="A494" s="276"/>
      <c r="B494" s="276"/>
      <c r="C494" s="276"/>
      <c r="D494" s="277"/>
      <c r="E494" s="277"/>
      <c r="F494" s="276"/>
      <c r="G494" s="276"/>
      <c r="H494" s="276"/>
    </row>
    <row r="495">
      <c r="A495" s="276"/>
      <c r="B495" s="276"/>
      <c r="C495" s="276"/>
      <c r="D495" s="277"/>
      <c r="E495" s="277"/>
      <c r="F495" s="276"/>
      <c r="G495" s="276"/>
      <c r="H495" s="276"/>
    </row>
    <row r="496">
      <c r="A496" s="276"/>
      <c r="B496" s="276"/>
      <c r="C496" s="276"/>
      <c r="D496" s="277"/>
      <c r="E496" s="277"/>
      <c r="F496" s="276"/>
      <c r="G496" s="276"/>
      <c r="H496" s="276"/>
    </row>
    <row r="497">
      <c r="A497" s="276"/>
      <c r="B497" s="276"/>
      <c r="C497" s="276"/>
      <c r="D497" s="277"/>
      <c r="E497" s="277"/>
      <c r="F497" s="276"/>
      <c r="G497" s="276"/>
      <c r="H497" s="276"/>
    </row>
    <row r="498">
      <c r="A498" s="276"/>
      <c r="B498" s="276"/>
      <c r="C498" s="276"/>
      <c r="D498" s="277"/>
      <c r="E498" s="277"/>
      <c r="F498" s="276"/>
      <c r="G498" s="276"/>
      <c r="H498" s="276"/>
    </row>
    <row r="499">
      <c r="A499" s="276"/>
      <c r="B499" s="276"/>
      <c r="C499" s="276"/>
      <c r="D499" s="277"/>
      <c r="E499" s="277"/>
      <c r="F499" s="276"/>
      <c r="G499" s="276"/>
      <c r="H499" s="276"/>
    </row>
    <row r="500">
      <c r="A500" s="276"/>
      <c r="B500" s="276"/>
      <c r="C500" s="276"/>
      <c r="D500" s="277"/>
      <c r="E500" s="277"/>
      <c r="F500" s="276"/>
      <c r="G500" s="276"/>
      <c r="H500" s="276"/>
    </row>
    <row r="501">
      <c r="A501" s="276"/>
      <c r="B501" s="276"/>
      <c r="C501" s="276"/>
      <c r="D501" s="277"/>
      <c r="E501" s="277"/>
      <c r="F501" s="276"/>
      <c r="G501" s="276"/>
      <c r="H501" s="276"/>
    </row>
    <row r="502">
      <c r="A502" s="276"/>
      <c r="B502" s="276"/>
      <c r="C502" s="276"/>
      <c r="D502" s="277"/>
      <c r="E502" s="277"/>
      <c r="F502" s="276"/>
      <c r="G502" s="276"/>
      <c r="H502" s="276"/>
    </row>
    <row r="503">
      <c r="A503" s="276"/>
      <c r="B503" s="276"/>
      <c r="C503" s="276"/>
      <c r="D503" s="277"/>
      <c r="E503" s="277"/>
      <c r="F503" s="276"/>
      <c r="G503" s="276"/>
      <c r="H503" s="276"/>
    </row>
    <row r="504">
      <c r="A504" s="276"/>
      <c r="B504" s="276"/>
      <c r="C504" s="276"/>
      <c r="D504" s="277"/>
      <c r="E504" s="277"/>
      <c r="F504" s="276"/>
      <c r="G504" s="276"/>
      <c r="H504" s="276"/>
    </row>
    <row r="505">
      <c r="A505" s="276"/>
      <c r="B505" s="276"/>
      <c r="C505" s="276"/>
      <c r="D505" s="277"/>
      <c r="E505" s="277"/>
      <c r="F505" s="276"/>
      <c r="G505" s="276"/>
      <c r="H505" s="276"/>
    </row>
    <row r="506">
      <c r="A506" s="276"/>
      <c r="B506" s="276"/>
      <c r="C506" s="276"/>
      <c r="D506" s="277"/>
      <c r="E506" s="277"/>
      <c r="F506" s="276"/>
      <c r="G506" s="276"/>
      <c r="H506" s="276"/>
    </row>
    <row r="507">
      <c r="A507" s="276"/>
      <c r="B507" s="276"/>
      <c r="C507" s="276"/>
      <c r="D507" s="277"/>
      <c r="E507" s="277"/>
      <c r="F507" s="276"/>
      <c r="G507" s="276"/>
      <c r="H507" s="276"/>
    </row>
    <row r="508">
      <c r="A508" s="276"/>
      <c r="B508" s="276"/>
      <c r="C508" s="276"/>
      <c r="D508" s="277"/>
      <c r="E508" s="277"/>
      <c r="F508" s="276"/>
      <c r="G508" s="276"/>
      <c r="H508" s="276"/>
    </row>
    <row r="509">
      <c r="A509" s="276"/>
      <c r="B509" s="276"/>
      <c r="C509" s="276"/>
      <c r="D509" s="277"/>
      <c r="E509" s="277"/>
      <c r="F509" s="276"/>
      <c r="G509" s="276"/>
      <c r="H509" s="276"/>
    </row>
    <row r="510">
      <c r="A510" s="276"/>
      <c r="B510" s="276"/>
      <c r="C510" s="276"/>
      <c r="D510" s="277"/>
      <c r="E510" s="277"/>
      <c r="F510" s="276"/>
      <c r="G510" s="276"/>
      <c r="H510" s="276"/>
    </row>
    <row r="511">
      <c r="A511" s="276"/>
      <c r="B511" s="276"/>
      <c r="C511" s="276"/>
      <c r="D511" s="277"/>
      <c r="E511" s="277"/>
      <c r="F511" s="276"/>
      <c r="G511" s="276"/>
      <c r="H511" s="276"/>
    </row>
    <row r="512">
      <c r="A512" s="276"/>
      <c r="B512" s="276"/>
      <c r="C512" s="276"/>
      <c r="D512" s="277"/>
      <c r="E512" s="277"/>
      <c r="F512" s="276"/>
      <c r="G512" s="276"/>
      <c r="H512" s="276"/>
    </row>
    <row r="513">
      <c r="A513" s="276"/>
      <c r="B513" s="276"/>
      <c r="C513" s="276"/>
      <c r="D513" s="277"/>
      <c r="E513" s="277"/>
      <c r="F513" s="276"/>
      <c r="G513" s="276"/>
      <c r="H513" s="276"/>
    </row>
    <row r="514">
      <c r="A514" s="276"/>
      <c r="B514" s="276"/>
      <c r="C514" s="276"/>
      <c r="D514" s="277"/>
      <c r="E514" s="277"/>
      <c r="F514" s="276"/>
      <c r="G514" s="276"/>
      <c r="H514" s="276"/>
    </row>
    <row r="515">
      <c r="A515" s="276"/>
      <c r="B515" s="276"/>
      <c r="C515" s="276"/>
      <c r="D515" s="277"/>
      <c r="E515" s="277"/>
      <c r="F515" s="276"/>
      <c r="G515" s="276"/>
      <c r="H515" s="276"/>
    </row>
    <row r="516">
      <c r="A516" s="276"/>
      <c r="B516" s="276"/>
      <c r="C516" s="276"/>
      <c r="D516" s="277"/>
      <c r="E516" s="277"/>
      <c r="F516" s="276"/>
      <c r="G516" s="276"/>
      <c r="H516" s="276"/>
    </row>
    <row r="517">
      <c r="A517" s="276"/>
      <c r="B517" s="276"/>
      <c r="C517" s="276"/>
      <c r="D517" s="277"/>
      <c r="E517" s="277"/>
      <c r="F517" s="276"/>
      <c r="G517" s="276"/>
      <c r="H517" s="276"/>
    </row>
    <row r="518">
      <c r="A518" s="276"/>
      <c r="B518" s="276"/>
      <c r="C518" s="276"/>
      <c r="D518" s="277"/>
      <c r="E518" s="277"/>
      <c r="F518" s="276"/>
      <c r="G518" s="276"/>
      <c r="H518" s="276"/>
    </row>
    <row r="519">
      <c r="A519" s="276"/>
      <c r="B519" s="276"/>
      <c r="C519" s="276"/>
      <c r="D519" s="277"/>
      <c r="E519" s="277"/>
      <c r="F519" s="276"/>
      <c r="G519" s="276"/>
      <c r="H519" s="276"/>
    </row>
    <row r="520">
      <c r="A520" s="276"/>
      <c r="B520" s="276"/>
      <c r="C520" s="276"/>
      <c r="D520" s="277"/>
      <c r="E520" s="277"/>
      <c r="F520" s="276"/>
      <c r="G520" s="276"/>
      <c r="H520" s="276"/>
    </row>
    <row r="521">
      <c r="A521" s="276"/>
      <c r="B521" s="276"/>
      <c r="C521" s="276"/>
      <c r="D521" s="277"/>
      <c r="E521" s="277"/>
      <c r="F521" s="276"/>
      <c r="G521" s="276"/>
      <c r="H521" s="276"/>
    </row>
    <row r="522">
      <c r="A522" s="276"/>
      <c r="B522" s="276"/>
      <c r="C522" s="276"/>
      <c r="D522" s="277"/>
      <c r="E522" s="277"/>
      <c r="F522" s="276"/>
      <c r="G522" s="276"/>
      <c r="H522" s="276"/>
    </row>
    <row r="523">
      <c r="A523" s="276"/>
      <c r="B523" s="276"/>
      <c r="C523" s="276"/>
      <c r="D523" s="277"/>
      <c r="E523" s="277"/>
      <c r="F523" s="276"/>
      <c r="G523" s="276"/>
      <c r="H523" s="276"/>
    </row>
    <row r="524">
      <c r="A524" s="276"/>
      <c r="B524" s="276"/>
      <c r="C524" s="276"/>
      <c r="D524" s="277"/>
      <c r="E524" s="277"/>
      <c r="F524" s="276"/>
      <c r="G524" s="276"/>
      <c r="H524" s="276"/>
    </row>
    <row r="525">
      <c r="A525" s="276"/>
      <c r="B525" s="276"/>
      <c r="C525" s="276"/>
      <c r="D525" s="277"/>
      <c r="E525" s="277"/>
      <c r="F525" s="276"/>
      <c r="G525" s="276"/>
      <c r="H525" s="276"/>
    </row>
    <row r="526">
      <c r="A526" s="276"/>
      <c r="B526" s="276"/>
      <c r="C526" s="276"/>
      <c r="D526" s="277"/>
      <c r="E526" s="277"/>
      <c r="F526" s="276"/>
      <c r="G526" s="276"/>
      <c r="H526" s="276"/>
    </row>
    <row r="527">
      <c r="A527" s="276"/>
      <c r="B527" s="276"/>
      <c r="C527" s="276"/>
      <c r="D527" s="277"/>
      <c r="E527" s="277"/>
      <c r="F527" s="276"/>
      <c r="G527" s="276"/>
      <c r="H527" s="276"/>
    </row>
    <row r="528">
      <c r="A528" s="276"/>
      <c r="B528" s="276"/>
      <c r="C528" s="276"/>
      <c r="D528" s="277"/>
      <c r="E528" s="277"/>
      <c r="F528" s="276"/>
      <c r="G528" s="276"/>
      <c r="H528" s="276"/>
    </row>
    <row r="529">
      <c r="A529" s="276"/>
      <c r="B529" s="276"/>
      <c r="C529" s="276"/>
      <c r="D529" s="277"/>
      <c r="E529" s="277"/>
      <c r="F529" s="276"/>
      <c r="G529" s="276"/>
      <c r="H529" s="276"/>
    </row>
    <row r="530">
      <c r="A530" s="276"/>
      <c r="B530" s="276"/>
      <c r="C530" s="276"/>
      <c r="D530" s="277"/>
      <c r="E530" s="277"/>
      <c r="F530" s="276"/>
      <c r="G530" s="276"/>
      <c r="H530" s="276"/>
    </row>
    <row r="531">
      <c r="A531" s="276"/>
      <c r="B531" s="276"/>
      <c r="C531" s="276"/>
      <c r="D531" s="277"/>
      <c r="E531" s="277"/>
      <c r="F531" s="276"/>
      <c r="G531" s="276"/>
      <c r="H531" s="276"/>
    </row>
    <row r="532">
      <c r="A532" s="276"/>
      <c r="B532" s="276"/>
      <c r="C532" s="276"/>
      <c r="D532" s="277"/>
      <c r="E532" s="277"/>
      <c r="F532" s="276"/>
      <c r="G532" s="276"/>
      <c r="H532" s="276"/>
    </row>
    <row r="533">
      <c r="A533" s="276"/>
      <c r="B533" s="276"/>
      <c r="C533" s="276"/>
      <c r="D533" s="277"/>
      <c r="E533" s="277"/>
      <c r="F533" s="276"/>
      <c r="G533" s="276"/>
      <c r="H533" s="276"/>
    </row>
    <row r="534">
      <c r="A534" s="276"/>
      <c r="B534" s="276"/>
      <c r="C534" s="276"/>
      <c r="D534" s="277"/>
      <c r="E534" s="277"/>
      <c r="F534" s="276"/>
      <c r="G534" s="276"/>
      <c r="H534" s="276"/>
    </row>
    <row r="535">
      <c r="A535" s="276"/>
      <c r="B535" s="276"/>
      <c r="C535" s="276"/>
      <c r="D535" s="277"/>
      <c r="E535" s="277"/>
      <c r="F535" s="276"/>
      <c r="G535" s="276"/>
      <c r="H535" s="276"/>
    </row>
    <row r="536">
      <c r="A536" s="276"/>
      <c r="B536" s="276"/>
      <c r="C536" s="276"/>
      <c r="D536" s="277"/>
      <c r="E536" s="277"/>
      <c r="F536" s="276"/>
      <c r="G536" s="276"/>
      <c r="H536" s="276"/>
    </row>
    <row r="537">
      <c r="A537" s="276"/>
      <c r="B537" s="276"/>
      <c r="C537" s="276"/>
      <c r="D537" s="277"/>
      <c r="E537" s="277"/>
      <c r="F537" s="276"/>
      <c r="G537" s="276"/>
      <c r="H537" s="276"/>
    </row>
    <row r="538">
      <c r="A538" s="276"/>
      <c r="B538" s="276"/>
      <c r="C538" s="276"/>
      <c r="D538" s="277"/>
      <c r="E538" s="277"/>
      <c r="F538" s="276"/>
      <c r="G538" s="276"/>
      <c r="H538" s="276"/>
    </row>
    <row r="539">
      <c r="A539" s="276"/>
      <c r="B539" s="276"/>
      <c r="C539" s="276"/>
      <c r="D539" s="277"/>
      <c r="E539" s="277"/>
      <c r="F539" s="276"/>
      <c r="G539" s="276"/>
      <c r="H539" s="276"/>
    </row>
    <row r="540">
      <c r="A540" s="276"/>
      <c r="B540" s="276"/>
      <c r="C540" s="276"/>
      <c r="D540" s="277"/>
      <c r="E540" s="277"/>
      <c r="F540" s="276"/>
      <c r="G540" s="276"/>
      <c r="H540" s="276"/>
    </row>
    <row r="541">
      <c r="A541" s="276"/>
      <c r="B541" s="276"/>
      <c r="C541" s="276"/>
      <c r="D541" s="277"/>
      <c r="E541" s="277"/>
      <c r="F541" s="276"/>
      <c r="G541" s="276"/>
      <c r="H541" s="276"/>
    </row>
    <row r="542">
      <c r="A542" s="276"/>
      <c r="B542" s="276"/>
      <c r="C542" s="276"/>
      <c r="D542" s="277"/>
      <c r="E542" s="277"/>
      <c r="F542" s="276"/>
      <c r="G542" s="276"/>
      <c r="H542" s="276"/>
    </row>
    <row r="543">
      <c r="A543" s="276"/>
      <c r="B543" s="276"/>
      <c r="C543" s="276"/>
      <c r="D543" s="277"/>
      <c r="E543" s="277"/>
      <c r="F543" s="276"/>
      <c r="G543" s="276"/>
      <c r="H543" s="276"/>
    </row>
    <row r="544">
      <c r="A544" s="276"/>
      <c r="B544" s="276"/>
      <c r="C544" s="276"/>
      <c r="D544" s="277"/>
      <c r="E544" s="277"/>
      <c r="F544" s="276"/>
      <c r="G544" s="276"/>
      <c r="H544" s="276"/>
    </row>
    <row r="545">
      <c r="A545" s="276"/>
      <c r="B545" s="276"/>
      <c r="C545" s="276"/>
      <c r="D545" s="277"/>
      <c r="E545" s="277"/>
      <c r="F545" s="276"/>
      <c r="G545" s="276"/>
      <c r="H545" s="276"/>
    </row>
    <row r="546">
      <c r="A546" s="276"/>
      <c r="B546" s="276"/>
      <c r="C546" s="276"/>
      <c r="D546" s="277"/>
      <c r="E546" s="277"/>
      <c r="F546" s="276"/>
      <c r="G546" s="276"/>
      <c r="H546" s="276"/>
    </row>
    <row r="547">
      <c r="A547" s="276"/>
      <c r="B547" s="276"/>
      <c r="C547" s="276"/>
      <c r="D547" s="277"/>
      <c r="E547" s="277"/>
      <c r="F547" s="276"/>
      <c r="G547" s="276"/>
      <c r="H547" s="276"/>
    </row>
    <row r="548">
      <c r="A548" s="276"/>
      <c r="B548" s="276"/>
      <c r="C548" s="276"/>
      <c r="D548" s="277"/>
      <c r="E548" s="277"/>
      <c r="F548" s="276"/>
      <c r="G548" s="276"/>
      <c r="H548" s="276"/>
    </row>
    <row r="549">
      <c r="A549" s="276"/>
      <c r="B549" s="276"/>
      <c r="C549" s="276"/>
      <c r="D549" s="277"/>
      <c r="E549" s="277"/>
      <c r="F549" s="276"/>
      <c r="G549" s="276"/>
      <c r="H549" s="276"/>
    </row>
    <row r="550">
      <c r="A550" s="276"/>
      <c r="B550" s="276"/>
      <c r="C550" s="276"/>
      <c r="D550" s="277"/>
      <c r="E550" s="277"/>
      <c r="F550" s="276"/>
      <c r="G550" s="276"/>
      <c r="H550" s="276"/>
    </row>
    <row r="551">
      <c r="A551" s="276"/>
      <c r="B551" s="276"/>
      <c r="C551" s="276"/>
      <c r="D551" s="277"/>
      <c r="E551" s="277"/>
      <c r="F551" s="276"/>
      <c r="G551" s="276"/>
      <c r="H551" s="276"/>
    </row>
    <row r="552">
      <c r="A552" s="276"/>
      <c r="B552" s="276"/>
      <c r="C552" s="276"/>
      <c r="D552" s="277"/>
      <c r="E552" s="277"/>
      <c r="F552" s="276"/>
      <c r="G552" s="276"/>
      <c r="H552" s="276"/>
    </row>
    <row r="553">
      <c r="A553" s="276"/>
      <c r="B553" s="276"/>
      <c r="C553" s="276"/>
      <c r="D553" s="277"/>
      <c r="E553" s="277"/>
      <c r="F553" s="276"/>
      <c r="G553" s="276"/>
      <c r="H553" s="276"/>
    </row>
    <row r="554">
      <c r="A554" s="276"/>
      <c r="B554" s="276"/>
      <c r="C554" s="276"/>
      <c r="D554" s="277"/>
      <c r="E554" s="277"/>
      <c r="F554" s="276"/>
      <c r="G554" s="276"/>
      <c r="H554" s="276"/>
    </row>
    <row r="555">
      <c r="A555" s="276"/>
      <c r="B555" s="276"/>
      <c r="C555" s="276"/>
      <c r="D555" s="277"/>
      <c r="E555" s="277"/>
      <c r="F555" s="276"/>
      <c r="G555" s="276"/>
      <c r="H555" s="276"/>
    </row>
    <row r="556">
      <c r="A556" s="276"/>
      <c r="B556" s="276"/>
      <c r="C556" s="276"/>
      <c r="D556" s="277"/>
      <c r="E556" s="277"/>
      <c r="F556" s="276"/>
      <c r="G556" s="276"/>
      <c r="H556" s="276"/>
    </row>
    <row r="557">
      <c r="A557" s="276"/>
      <c r="B557" s="276"/>
      <c r="C557" s="276"/>
      <c r="D557" s="277"/>
      <c r="E557" s="277"/>
      <c r="F557" s="276"/>
      <c r="G557" s="276"/>
      <c r="H557" s="276"/>
    </row>
    <row r="558">
      <c r="A558" s="276"/>
      <c r="B558" s="276"/>
      <c r="C558" s="276"/>
      <c r="D558" s="277"/>
      <c r="E558" s="277"/>
      <c r="F558" s="276"/>
      <c r="G558" s="276"/>
      <c r="H558" s="276"/>
    </row>
    <row r="559">
      <c r="A559" s="276"/>
      <c r="B559" s="276"/>
      <c r="C559" s="276"/>
      <c r="D559" s="277"/>
      <c r="E559" s="277"/>
      <c r="F559" s="276"/>
      <c r="G559" s="276"/>
      <c r="H559" s="276"/>
    </row>
    <row r="560">
      <c r="A560" s="276"/>
      <c r="B560" s="276"/>
      <c r="C560" s="276"/>
      <c r="D560" s="277"/>
      <c r="E560" s="277"/>
      <c r="F560" s="276"/>
      <c r="G560" s="276"/>
      <c r="H560" s="276"/>
    </row>
    <row r="561">
      <c r="A561" s="276"/>
      <c r="B561" s="276"/>
      <c r="C561" s="276"/>
      <c r="D561" s="277"/>
      <c r="E561" s="277"/>
      <c r="F561" s="276"/>
      <c r="G561" s="276"/>
      <c r="H561" s="276"/>
    </row>
    <row r="562">
      <c r="A562" s="276"/>
      <c r="B562" s="276"/>
      <c r="C562" s="276"/>
      <c r="D562" s="277"/>
      <c r="E562" s="277"/>
      <c r="F562" s="276"/>
      <c r="G562" s="276"/>
      <c r="H562" s="276"/>
    </row>
    <row r="563">
      <c r="A563" s="276"/>
      <c r="B563" s="276"/>
      <c r="C563" s="276"/>
      <c r="D563" s="277"/>
      <c r="E563" s="277"/>
      <c r="F563" s="276"/>
      <c r="G563" s="276"/>
      <c r="H563" s="276"/>
    </row>
    <row r="564">
      <c r="A564" s="276"/>
      <c r="B564" s="276"/>
      <c r="C564" s="276"/>
      <c r="D564" s="277"/>
      <c r="E564" s="277"/>
      <c r="F564" s="276"/>
      <c r="G564" s="276"/>
      <c r="H564" s="276"/>
    </row>
    <row r="565">
      <c r="A565" s="276"/>
      <c r="B565" s="276"/>
      <c r="C565" s="276"/>
      <c r="D565" s="277"/>
      <c r="E565" s="277"/>
      <c r="F565" s="276"/>
      <c r="G565" s="276"/>
      <c r="H565" s="276"/>
    </row>
    <row r="566">
      <c r="A566" s="276"/>
      <c r="B566" s="276"/>
      <c r="C566" s="276"/>
      <c r="D566" s="277"/>
      <c r="E566" s="277"/>
      <c r="F566" s="276"/>
      <c r="G566" s="276"/>
      <c r="H566" s="276"/>
    </row>
    <row r="567">
      <c r="A567" s="276"/>
      <c r="B567" s="276"/>
      <c r="C567" s="276"/>
      <c r="D567" s="277"/>
      <c r="E567" s="277"/>
      <c r="F567" s="276"/>
      <c r="G567" s="276"/>
      <c r="H567" s="276"/>
    </row>
    <row r="568">
      <c r="A568" s="276"/>
      <c r="B568" s="276"/>
      <c r="C568" s="276"/>
      <c r="D568" s="277"/>
      <c r="E568" s="277"/>
      <c r="F568" s="276"/>
      <c r="G568" s="276"/>
      <c r="H568" s="276"/>
    </row>
    <row r="569">
      <c r="A569" s="276"/>
      <c r="B569" s="276"/>
      <c r="C569" s="276"/>
      <c r="D569" s="277"/>
      <c r="E569" s="277"/>
      <c r="F569" s="276"/>
      <c r="G569" s="276"/>
      <c r="H569" s="276"/>
    </row>
    <row r="570">
      <c r="A570" s="276"/>
      <c r="B570" s="276"/>
      <c r="C570" s="276"/>
      <c r="D570" s="277"/>
      <c r="E570" s="277"/>
      <c r="F570" s="276"/>
      <c r="G570" s="276"/>
      <c r="H570" s="276"/>
    </row>
    <row r="571">
      <c r="A571" s="276"/>
      <c r="B571" s="276"/>
      <c r="C571" s="276"/>
      <c r="D571" s="277"/>
      <c r="E571" s="277"/>
      <c r="F571" s="276"/>
      <c r="G571" s="276"/>
      <c r="H571" s="276"/>
    </row>
    <row r="572">
      <c r="A572" s="276"/>
      <c r="B572" s="276"/>
      <c r="C572" s="276"/>
      <c r="D572" s="277"/>
      <c r="E572" s="277"/>
      <c r="F572" s="276"/>
      <c r="G572" s="276"/>
      <c r="H572" s="276"/>
    </row>
    <row r="573">
      <c r="A573" s="276"/>
      <c r="B573" s="276"/>
      <c r="C573" s="276"/>
      <c r="D573" s="277"/>
      <c r="E573" s="277"/>
      <c r="F573" s="276"/>
      <c r="G573" s="276"/>
      <c r="H573" s="276"/>
    </row>
    <row r="574">
      <c r="A574" s="276"/>
      <c r="B574" s="276"/>
      <c r="C574" s="276"/>
      <c r="D574" s="277"/>
      <c r="E574" s="277"/>
      <c r="F574" s="276"/>
      <c r="G574" s="276"/>
      <c r="H574" s="276"/>
    </row>
    <row r="575">
      <c r="A575" s="276"/>
      <c r="B575" s="276"/>
      <c r="C575" s="276"/>
      <c r="D575" s="277"/>
      <c r="E575" s="277"/>
      <c r="F575" s="276"/>
      <c r="G575" s="276"/>
      <c r="H575" s="276"/>
    </row>
    <row r="576">
      <c r="A576" s="276"/>
      <c r="B576" s="276"/>
      <c r="C576" s="276"/>
      <c r="D576" s="277"/>
      <c r="E576" s="277"/>
      <c r="F576" s="276"/>
      <c r="G576" s="276"/>
      <c r="H576" s="276"/>
    </row>
    <row r="577">
      <c r="A577" s="276"/>
      <c r="B577" s="276"/>
      <c r="C577" s="276"/>
      <c r="D577" s="277"/>
      <c r="E577" s="277"/>
      <c r="F577" s="276"/>
      <c r="G577" s="276"/>
      <c r="H577" s="276"/>
    </row>
    <row r="578">
      <c r="A578" s="276"/>
      <c r="B578" s="276"/>
      <c r="C578" s="276"/>
      <c r="D578" s="277"/>
      <c r="E578" s="277"/>
      <c r="F578" s="276"/>
      <c r="G578" s="276"/>
      <c r="H578" s="276"/>
    </row>
    <row r="579">
      <c r="A579" s="276"/>
      <c r="B579" s="276"/>
      <c r="C579" s="276"/>
      <c r="D579" s="277"/>
      <c r="E579" s="277"/>
      <c r="F579" s="276"/>
      <c r="G579" s="276"/>
      <c r="H579" s="276"/>
    </row>
    <row r="580">
      <c r="A580" s="276"/>
      <c r="B580" s="276"/>
      <c r="C580" s="276"/>
      <c r="D580" s="277"/>
      <c r="E580" s="277"/>
      <c r="F580" s="276"/>
      <c r="G580" s="276"/>
      <c r="H580" s="276"/>
    </row>
    <row r="581">
      <c r="A581" s="276"/>
      <c r="B581" s="276"/>
      <c r="C581" s="276"/>
      <c r="D581" s="277"/>
      <c r="E581" s="277"/>
      <c r="F581" s="276"/>
      <c r="G581" s="276"/>
      <c r="H581" s="276"/>
    </row>
    <row r="582">
      <c r="A582" s="276"/>
      <c r="B582" s="276"/>
      <c r="C582" s="276"/>
      <c r="D582" s="277"/>
      <c r="E582" s="277"/>
      <c r="F582" s="276"/>
      <c r="G582" s="276"/>
      <c r="H582" s="276"/>
    </row>
    <row r="583">
      <c r="A583" s="276"/>
      <c r="B583" s="276"/>
      <c r="C583" s="276"/>
      <c r="D583" s="277"/>
      <c r="E583" s="277"/>
      <c r="F583" s="276"/>
      <c r="G583" s="276"/>
      <c r="H583" s="276"/>
    </row>
    <row r="584">
      <c r="A584" s="276"/>
      <c r="B584" s="276"/>
      <c r="C584" s="276"/>
      <c r="D584" s="277"/>
      <c r="E584" s="277"/>
      <c r="F584" s="276"/>
      <c r="G584" s="276"/>
      <c r="H584" s="276"/>
    </row>
    <row r="585">
      <c r="A585" s="276"/>
      <c r="B585" s="276"/>
      <c r="C585" s="276"/>
      <c r="D585" s="277"/>
      <c r="E585" s="277"/>
      <c r="F585" s="276"/>
      <c r="G585" s="276"/>
      <c r="H585" s="276"/>
    </row>
    <row r="586">
      <c r="A586" s="276"/>
      <c r="B586" s="276"/>
      <c r="C586" s="276"/>
      <c r="D586" s="277"/>
      <c r="E586" s="277"/>
      <c r="F586" s="276"/>
      <c r="G586" s="276"/>
      <c r="H586" s="276"/>
    </row>
    <row r="587">
      <c r="A587" s="276"/>
      <c r="B587" s="276"/>
      <c r="C587" s="276"/>
      <c r="D587" s="277"/>
      <c r="E587" s="277"/>
      <c r="F587" s="276"/>
      <c r="G587" s="276"/>
      <c r="H587" s="276"/>
    </row>
    <row r="588">
      <c r="A588" s="276"/>
      <c r="B588" s="276"/>
      <c r="C588" s="276"/>
      <c r="D588" s="277"/>
      <c r="E588" s="277"/>
      <c r="F588" s="276"/>
      <c r="G588" s="276"/>
      <c r="H588" s="276"/>
    </row>
    <row r="589">
      <c r="A589" s="276"/>
      <c r="B589" s="276"/>
      <c r="C589" s="276"/>
      <c r="D589" s="277"/>
      <c r="E589" s="277"/>
      <c r="F589" s="276"/>
      <c r="G589" s="276"/>
      <c r="H589" s="276"/>
    </row>
    <row r="590">
      <c r="A590" s="276"/>
      <c r="B590" s="276"/>
      <c r="C590" s="276"/>
      <c r="D590" s="277"/>
      <c r="E590" s="277"/>
      <c r="F590" s="276"/>
      <c r="G590" s="276"/>
      <c r="H590" s="276"/>
    </row>
    <row r="591">
      <c r="A591" s="276"/>
      <c r="B591" s="276"/>
      <c r="C591" s="276"/>
      <c r="D591" s="277"/>
      <c r="E591" s="277"/>
      <c r="F591" s="276"/>
      <c r="G591" s="276"/>
      <c r="H591" s="276"/>
    </row>
    <row r="592">
      <c r="A592" s="276"/>
      <c r="B592" s="276"/>
      <c r="C592" s="276"/>
      <c r="D592" s="277"/>
      <c r="E592" s="277"/>
      <c r="F592" s="276"/>
      <c r="G592" s="276"/>
      <c r="H592" s="276"/>
    </row>
    <row r="593">
      <c r="A593" s="276"/>
      <c r="B593" s="276"/>
      <c r="C593" s="276"/>
      <c r="D593" s="277"/>
      <c r="E593" s="277"/>
      <c r="F593" s="276"/>
      <c r="G593" s="276"/>
      <c r="H593" s="276"/>
    </row>
    <row r="594">
      <c r="A594" s="276"/>
      <c r="B594" s="276"/>
      <c r="C594" s="276"/>
      <c r="D594" s="277"/>
      <c r="E594" s="277"/>
      <c r="F594" s="276"/>
      <c r="G594" s="276"/>
      <c r="H594" s="276"/>
    </row>
    <row r="595">
      <c r="A595" s="276"/>
      <c r="B595" s="276"/>
      <c r="C595" s="276"/>
      <c r="D595" s="277"/>
      <c r="E595" s="277"/>
      <c r="F595" s="276"/>
      <c r="G595" s="276"/>
      <c r="H595" s="276"/>
    </row>
    <row r="596">
      <c r="A596" s="276"/>
      <c r="B596" s="276"/>
      <c r="C596" s="276"/>
      <c r="D596" s="277"/>
      <c r="E596" s="277"/>
      <c r="F596" s="276"/>
      <c r="G596" s="276"/>
      <c r="H596" s="276"/>
    </row>
    <row r="597">
      <c r="A597" s="276"/>
      <c r="B597" s="276"/>
      <c r="C597" s="276"/>
      <c r="D597" s="277"/>
      <c r="E597" s="277"/>
      <c r="F597" s="276"/>
      <c r="G597" s="276"/>
      <c r="H597" s="276"/>
    </row>
    <row r="598">
      <c r="A598" s="276"/>
      <c r="B598" s="276"/>
      <c r="C598" s="276"/>
      <c r="D598" s="277"/>
      <c r="E598" s="277"/>
      <c r="F598" s="276"/>
      <c r="G598" s="276"/>
      <c r="H598" s="276"/>
    </row>
    <row r="599">
      <c r="A599" s="276"/>
      <c r="B599" s="276"/>
      <c r="C599" s="276"/>
      <c r="D599" s="277"/>
      <c r="E599" s="277"/>
      <c r="F599" s="276"/>
      <c r="G599" s="276"/>
      <c r="H599" s="276"/>
    </row>
    <row r="600">
      <c r="A600" s="276"/>
      <c r="B600" s="276"/>
      <c r="C600" s="276"/>
      <c r="D600" s="277"/>
      <c r="E600" s="277"/>
      <c r="F600" s="276"/>
      <c r="G600" s="276"/>
      <c r="H600" s="276"/>
    </row>
    <row r="601">
      <c r="A601" s="276"/>
      <c r="B601" s="276"/>
      <c r="C601" s="276"/>
      <c r="D601" s="277"/>
      <c r="E601" s="277"/>
      <c r="F601" s="276"/>
      <c r="G601" s="276"/>
      <c r="H601" s="276"/>
    </row>
    <row r="602">
      <c r="A602" s="276"/>
      <c r="B602" s="276"/>
      <c r="C602" s="276"/>
      <c r="D602" s="277"/>
      <c r="E602" s="277"/>
      <c r="F602" s="276"/>
      <c r="G602" s="276"/>
      <c r="H602" s="276"/>
    </row>
    <row r="603">
      <c r="A603" s="276"/>
      <c r="B603" s="276"/>
      <c r="C603" s="276"/>
      <c r="D603" s="277"/>
      <c r="E603" s="277"/>
      <c r="F603" s="276"/>
      <c r="G603" s="276"/>
      <c r="H603" s="276"/>
    </row>
    <row r="604">
      <c r="A604" s="276"/>
      <c r="B604" s="276"/>
      <c r="C604" s="276"/>
      <c r="D604" s="277"/>
      <c r="E604" s="277"/>
      <c r="F604" s="276"/>
      <c r="G604" s="276"/>
      <c r="H604" s="276"/>
    </row>
    <row r="605">
      <c r="A605" s="276"/>
      <c r="B605" s="276"/>
      <c r="C605" s="276"/>
      <c r="D605" s="277"/>
      <c r="E605" s="277"/>
      <c r="F605" s="276"/>
      <c r="G605" s="276"/>
      <c r="H605" s="276"/>
    </row>
    <row r="606">
      <c r="A606" s="276"/>
      <c r="B606" s="276"/>
      <c r="C606" s="276"/>
      <c r="D606" s="277"/>
      <c r="E606" s="277"/>
      <c r="F606" s="276"/>
      <c r="G606" s="276"/>
      <c r="H606" s="276"/>
    </row>
    <row r="607">
      <c r="A607" s="276"/>
      <c r="B607" s="276"/>
      <c r="C607" s="276"/>
      <c r="D607" s="277"/>
      <c r="E607" s="277"/>
      <c r="F607" s="276"/>
      <c r="G607" s="276"/>
      <c r="H607" s="276"/>
    </row>
    <row r="608">
      <c r="A608" s="276"/>
      <c r="B608" s="276"/>
      <c r="C608" s="276"/>
      <c r="D608" s="277"/>
      <c r="E608" s="277"/>
      <c r="F608" s="276"/>
      <c r="G608" s="276"/>
      <c r="H608" s="276"/>
    </row>
    <row r="609">
      <c r="A609" s="276"/>
      <c r="B609" s="276"/>
      <c r="C609" s="276"/>
      <c r="D609" s="277"/>
      <c r="E609" s="277"/>
      <c r="F609" s="276"/>
      <c r="G609" s="276"/>
      <c r="H609" s="276"/>
    </row>
    <row r="610">
      <c r="A610" s="276"/>
      <c r="B610" s="276"/>
      <c r="C610" s="276"/>
      <c r="D610" s="277"/>
      <c r="E610" s="277"/>
      <c r="F610" s="276"/>
      <c r="G610" s="276"/>
      <c r="H610" s="276"/>
    </row>
    <row r="611">
      <c r="A611" s="276"/>
      <c r="B611" s="276"/>
      <c r="C611" s="276"/>
      <c r="D611" s="277"/>
      <c r="E611" s="277"/>
      <c r="F611" s="276"/>
      <c r="G611" s="276"/>
      <c r="H611" s="276"/>
    </row>
    <row r="612">
      <c r="A612" s="276"/>
      <c r="B612" s="276"/>
      <c r="C612" s="276"/>
      <c r="D612" s="277"/>
      <c r="E612" s="277"/>
      <c r="F612" s="276"/>
      <c r="G612" s="276"/>
      <c r="H612" s="276"/>
    </row>
    <row r="613">
      <c r="A613" s="276"/>
      <c r="B613" s="276"/>
      <c r="C613" s="276"/>
      <c r="D613" s="277"/>
      <c r="E613" s="277"/>
      <c r="F613" s="276"/>
      <c r="G613" s="276"/>
      <c r="H613" s="276"/>
    </row>
    <row r="614">
      <c r="A614" s="276"/>
      <c r="B614" s="276"/>
      <c r="C614" s="276"/>
      <c r="D614" s="277"/>
      <c r="E614" s="277"/>
      <c r="F614" s="276"/>
      <c r="G614" s="276"/>
      <c r="H614" s="276"/>
    </row>
    <row r="615">
      <c r="A615" s="276"/>
      <c r="B615" s="276"/>
      <c r="C615" s="276"/>
      <c r="D615" s="277"/>
      <c r="E615" s="277"/>
      <c r="F615" s="276"/>
      <c r="G615" s="276"/>
      <c r="H615" s="276"/>
    </row>
    <row r="616">
      <c r="A616" s="276"/>
      <c r="B616" s="276"/>
      <c r="C616" s="276"/>
      <c r="D616" s="277"/>
      <c r="E616" s="277"/>
      <c r="F616" s="276"/>
      <c r="G616" s="276"/>
      <c r="H616" s="276"/>
    </row>
    <row r="617">
      <c r="A617" s="276"/>
      <c r="B617" s="276"/>
      <c r="C617" s="276"/>
      <c r="D617" s="277"/>
      <c r="E617" s="277"/>
      <c r="F617" s="276"/>
      <c r="G617" s="276"/>
      <c r="H617" s="276"/>
    </row>
    <row r="618">
      <c r="A618" s="276"/>
      <c r="B618" s="276"/>
      <c r="C618" s="276"/>
      <c r="D618" s="277"/>
      <c r="E618" s="277"/>
      <c r="F618" s="276"/>
      <c r="G618" s="276"/>
      <c r="H618" s="276"/>
    </row>
    <row r="619">
      <c r="A619" s="276"/>
      <c r="B619" s="276"/>
      <c r="C619" s="276"/>
      <c r="D619" s="277"/>
      <c r="E619" s="277"/>
      <c r="F619" s="276"/>
      <c r="G619" s="276"/>
      <c r="H619" s="276"/>
    </row>
    <row r="620">
      <c r="A620" s="276"/>
      <c r="B620" s="276"/>
      <c r="C620" s="276"/>
      <c r="D620" s="277"/>
      <c r="E620" s="277"/>
      <c r="F620" s="276"/>
      <c r="G620" s="276"/>
      <c r="H620" s="276"/>
    </row>
    <row r="621">
      <c r="A621" s="276"/>
      <c r="B621" s="276"/>
      <c r="C621" s="276"/>
      <c r="D621" s="277"/>
      <c r="E621" s="277"/>
      <c r="F621" s="276"/>
      <c r="G621" s="276"/>
      <c r="H621" s="276"/>
    </row>
    <row r="622">
      <c r="A622" s="276"/>
      <c r="B622" s="276"/>
      <c r="C622" s="276"/>
      <c r="D622" s="277"/>
      <c r="E622" s="277"/>
      <c r="F622" s="276"/>
      <c r="G622" s="276"/>
      <c r="H622" s="276"/>
    </row>
    <row r="623">
      <c r="A623" s="276"/>
      <c r="B623" s="276"/>
      <c r="C623" s="276"/>
      <c r="D623" s="277"/>
      <c r="E623" s="277"/>
      <c r="F623" s="276"/>
      <c r="G623" s="276"/>
      <c r="H623" s="276"/>
    </row>
    <row r="624">
      <c r="A624" s="276"/>
      <c r="B624" s="276"/>
      <c r="C624" s="276"/>
      <c r="D624" s="277"/>
      <c r="E624" s="277"/>
      <c r="F624" s="276"/>
      <c r="G624" s="276"/>
      <c r="H624" s="276"/>
    </row>
    <row r="625">
      <c r="A625" s="276"/>
      <c r="B625" s="276"/>
      <c r="C625" s="276"/>
      <c r="D625" s="277"/>
      <c r="E625" s="277"/>
      <c r="F625" s="276"/>
      <c r="G625" s="276"/>
      <c r="H625" s="276"/>
    </row>
    <row r="626">
      <c r="A626" s="276"/>
      <c r="B626" s="276"/>
      <c r="C626" s="276"/>
      <c r="D626" s="277"/>
      <c r="E626" s="277"/>
      <c r="F626" s="276"/>
      <c r="G626" s="276"/>
      <c r="H626" s="276"/>
    </row>
    <row r="627">
      <c r="A627" s="276"/>
      <c r="B627" s="276"/>
      <c r="C627" s="276"/>
      <c r="D627" s="277"/>
      <c r="E627" s="277"/>
      <c r="F627" s="276"/>
      <c r="G627" s="276"/>
      <c r="H627" s="276"/>
    </row>
    <row r="628">
      <c r="A628" s="276"/>
      <c r="B628" s="276"/>
      <c r="C628" s="276"/>
      <c r="D628" s="277"/>
      <c r="E628" s="277"/>
      <c r="F628" s="276"/>
      <c r="G628" s="276"/>
      <c r="H628" s="276"/>
    </row>
    <row r="629">
      <c r="A629" s="276"/>
      <c r="B629" s="276"/>
      <c r="C629" s="276"/>
      <c r="D629" s="277"/>
      <c r="E629" s="277"/>
      <c r="F629" s="276"/>
      <c r="G629" s="276"/>
      <c r="H629" s="276"/>
    </row>
    <row r="630">
      <c r="A630" s="276"/>
      <c r="B630" s="276"/>
      <c r="C630" s="276"/>
      <c r="D630" s="277"/>
      <c r="E630" s="277"/>
      <c r="F630" s="276"/>
      <c r="G630" s="276"/>
      <c r="H630" s="276"/>
    </row>
    <row r="631">
      <c r="A631" s="276"/>
      <c r="B631" s="276"/>
      <c r="C631" s="276"/>
      <c r="D631" s="277"/>
      <c r="E631" s="277"/>
      <c r="F631" s="276"/>
      <c r="G631" s="276"/>
      <c r="H631" s="276"/>
    </row>
    <row r="632">
      <c r="A632" s="276"/>
      <c r="B632" s="276"/>
      <c r="C632" s="276"/>
      <c r="D632" s="277"/>
      <c r="E632" s="277"/>
      <c r="F632" s="276"/>
      <c r="G632" s="276"/>
      <c r="H632" s="276"/>
    </row>
    <row r="633">
      <c r="A633" s="276"/>
      <c r="B633" s="276"/>
      <c r="C633" s="276"/>
      <c r="D633" s="277"/>
      <c r="E633" s="277"/>
      <c r="F633" s="276"/>
      <c r="G633" s="276"/>
      <c r="H633" s="276"/>
    </row>
    <row r="634">
      <c r="A634" s="276"/>
      <c r="B634" s="276"/>
      <c r="C634" s="276"/>
      <c r="D634" s="277"/>
      <c r="E634" s="277"/>
      <c r="F634" s="276"/>
      <c r="G634" s="276"/>
      <c r="H634" s="276"/>
    </row>
    <row r="635">
      <c r="A635" s="276"/>
      <c r="B635" s="276"/>
      <c r="C635" s="276"/>
      <c r="D635" s="277"/>
      <c r="E635" s="277"/>
      <c r="F635" s="276"/>
      <c r="G635" s="276"/>
      <c r="H635" s="276"/>
    </row>
    <row r="636">
      <c r="A636" s="276"/>
      <c r="B636" s="276"/>
      <c r="C636" s="276"/>
      <c r="D636" s="277"/>
      <c r="E636" s="277"/>
      <c r="F636" s="276"/>
      <c r="G636" s="276"/>
      <c r="H636" s="276"/>
    </row>
    <row r="637">
      <c r="A637" s="276"/>
      <c r="B637" s="276"/>
      <c r="C637" s="276"/>
      <c r="D637" s="277"/>
      <c r="E637" s="277"/>
      <c r="F637" s="276"/>
      <c r="G637" s="276"/>
      <c r="H637" s="276"/>
    </row>
    <row r="638">
      <c r="A638" s="276"/>
      <c r="B638" s="276"/>
      <c r="C638" s="276"/>
      <c r="D638" s="277"/>
      <c r="E638" s="277"/>
      <c r="F638" s="276"/>
      <c r="G638" s="276"/>
      <c r="H638" s="276"/>
    </row>
    <row r="639">
      <c r="A639" s="276"/>
      <c r="B639" s="276"/>
      <c r="C639" s="276"/>
      <c r="D639" s="277"/>
      <c r="E639" s="277"/>
      <c r="F639" s="276"/>
      <c r="G639" s="276"/>
      <c r="H639" s="276"/>
    </row>
    <row r="640">
      <c r="A640" s="276"/>
      <c r="B640" s="276"/>
      <c r="C640" s="276"/>
      <c r="D640" s="277"/>
      <c r="E640" s="277"/>
      <c r="F640" s="276"/>
      <c r="G640" s="276"/>
      <c r="H640" s="276"/>
    </row>
    <row r="641">
      <c r="A641" s="276"/>
      <c r="B641" s="276"/>
      <c r="C641" s="276"/>
      <c r="D641" s="277"/>
      <c r="E641" s="277"/>
      <c r="F641" s="276"/>
      <c r="G641" s="276"/>
      <c r="H641" s="276"/>
    </row>
    <row r="642">
      <c r="A642" s="276"/>
      <c r="B642" s="276"/>
      <c r="C642" s="276"/>
      <c r="D642" s="277"/>
      <c r="E642" s="277"/>
      <c r="F642" s="276"/>
      <c r="G642" s="276"/>
      <c r="H642" s="276"/>
    </row>
    <row r="643">
      <c r="A643" s="276"/>
      <c r="B643" s="276"/>
      <c r="C643" s="276"/>
      <c r="D643" s="277"/>
      <c r="E643" s="277"/>
      <c r="F643" s="276"/>
      <c r="G643" s="276"/>
      <c r="H643" s="276"/>
    </row>
    <row r="644">
      <c r="A644" s="276"/>
      <c r="B644" s="276"/>
      <c r="C644" s="276"/>
      <c r="D644" s="277"/>
      <c r="E644" s="277"/>
      <c r="F644" s="276"/>
      <c r="G644" s="276"/>
      <c r="H644" s="276"/>
    </row>
    <row r="645">
      <c r="A645" s="276"/>
      <c r="B645" s="276"/>
      <c r="C645" s="276"/>
      <c r="D645" s="277"/>
      <c r="E645" s="277"/>
      <c r="F645" s="276"/>
      <c r="G645" s="276"/>
      <c r="H645" s="276"/>
    </row>
    <row r="646">
      <c r="A646" s="276"/>
      <c r="B646" s="276"/>
      <c r="C646" s="276"/>
      <c r="D646" s="277"/>
      <c r="E646" s="277"/>
      <c r="F646" s="276"/>
      <c r="G646" s="276"/>
      <c r="H646" s="276"/>
    </row>
    <row r="647">
      <c r="A647" s="276"/>
      <c r="B647" s="276"/>
      <c r="C647" s="276"/>
      <c r="D647" s="277"/>
      <c r="E647" s="277"/>
      <c r="F647" s="276"/>
      <c r="G647" s="276"/>
      <c r="H647" s="276"/>
    </row>
    <row r="648">
      <c r="A648" s="276"/>
      <c r="B648" s="276"/>
      <c r="C648" s="276"/>
      <c r="D648" s="277"/>
      <c r="E648" s="277"/>
      <c r="F648" s="276"/>
      <c r="G648" s="276"/>
      <c r="H648" s="276"/>
    </row>
    <row r="649">
      <c r="A649" s="276"/>
      <c r="B649" s="276"/>
      <c r="C649" s="276"/>
      <c r="D649" s="277"/>
      <c r="E649" s="277"/>
      <c r="F649" s="276"/>
      <c r="G649" s="276"/>
      <c r="H649" s="276"/>
    </row>
    <row r="650">
      <c r="A650" s="276"/>
      <c r="B650" s="276"/>
      <c r="C650" s="276"/>
      <c r="D650" s="277"/>
      <c r="E650" s="277"/>
      <c r="F650" s="276"/>
      <c r="G650" s="276"/>
      <c r="H650" s="276"/>
    </row>
    <row r="651">
      <c r="A651" s="276"/>
      <c r="B651" s="276"/>
      <c r="C651" s="276"/>
      <c r="D651" s="277"/>
      <c r="E651" s="277"/>
      <c r="F651" s="276"/>
      <c r="G651" s="276"/>
      <c r="H651" s="276"/>
    </row>
    <row r="652">
      <c r="A652" s="276"/>
      <c r="B652" s="276"/>
      <c r="C652" s="276"/>
      <c r="D652" s="277"/>
      <c r="E652" s="277"/>
      <c r="F652" s="276"/>
      <c r="G652" s="276"/>
      <c r="H652" s="276"/>
    </row>
    <row r="653">
      <c r="A653" s="276"/>
      <c r="B653" s="276"/>
      <c r="C653" s="276"/>
      <c r="D653" s="277"/>
      <c r="E653" s="277"/>
      <c r="F653" s="276"/>
      <c r="G653" s="276"/>
      <c r="H653" s="276"/>
    </row>
    <row r="654">
      <c r="A654" s="276"/>
      <c r="B654" s="276"/>
      <c r="C654" s="276"/>
      <c r="D654" s="277"/>
      <c r="E654" s="277"/>
      <c r="F654" s="276"/>
      <c r="G654" s="276"/>
      <c r="H654" s="276"/>
    </row>
    <row r="655">
      <c r="A655" s="276"/>
      <c r="B655" s="276"/>
      <c r="C655" s="276"/>
      <c r="D655" s="277"/>
      <c r="E655" s="277"/>
      <c r="F655" s="276"/>
      <c r="G655" s="276"/>
      <c r="H655" s="276"/>
    </row>
    <row r="656">
      <c r="A656" s="276"/>
      <c r="B656" s="276"/>
      <c r="C656" s="276"/>
      <c r="D656" s="277"/>
      <c r="E656" s="277"/>
      <c r="F656" s="276"/>
      <c r="G656" s="276"/>
      <c r="H656" s="276"/>
    </row>
    <row r="657">
      <c r="A657" s="276"/>
      <c r="B657" s="276"/>
      <c r="C657" s="276"/>
      <c r="D657" s="277"/>
      <c r="E657" s="277"/>
      <c r="F657" s="276"/>
      <c r="G657" s="276"/>
      <c r="H657" s="276"/>
    </row>
    <row r="658">
      <c r="A658" s="276"/>
      <c r="B658" s="276"/>
      <c r="C658" s="276"/>
      <c r="D658" s="277"/>
      <c r="E658" s="277"/>
      <c r="F658" s="276"/>
      <c r="G658" s="276"/>
      <c r="H658" s="276"/>
    </row>
    <row r="659">
      <c r="A659" s="276"/>
      <c r="B659" s="276"/>
      <c r="C659" s="276"/>
      <c r="D659" s="277"/>
      <c r="E659" s="277"/>
      <c r="F659" s="276"/>
      <c r="G659" s="276"/>
      <c r="H659" s="276"/>
    </row>
    <row r="660">
      <c r="A660" s="276"/>
      <c r="B660" s="276"/>
      <c r="C660" s="276"/>
      <c r="D660" s="277"/>
      <c r="E660" s="277"/>
      <c r="F660" s="276"/>
      <c r="G660" s="276"/>
      <c r="H660" s="276"/>
    </row>
    <row r="661">
      <c r="A661" s="276"/>
      <c r="B661" s="276"/>
      <c r="C661" s="276"/>
      <c r="D661" s="277"/>
      <c r="E661" s="277"/>
      <c r="F661" s="276"/>
      <c r="G661" s="276"/>
      <c r="H661" s="276"/>
    </row>
    <row r="662">
      <c r="A662" s="276"/>
      <c r="B662" s="276"/>
      <c r="C662" s="276"/>
      <c r="D662" s="277"/>
      <c r="E662" s="277"/>
      <c r="F662" s="276"/>
      <c r="G662" s="276"/>
      <c r="H662" s="276"/>
    </row>
    <row r="663">
      <c r="A663" s="276"/>
      <c r="B663" s="276"/>
      <c r="C663" s="276"/>
      <c r="D663" s="277"/>
      <c r="E663" s="277"/>
      <c r="F663" s="276"/>
      <c r="G663" s="276"/>
      <c r="H663" s="276"/>
    </row>
    <row r="664">
      <c r="A664" s="276"/>
      <c r="B664" s="276"/>
      <c r="C664" s="276"/>
      <c r="D664" s="277"/>
      <c r="E664" s="277"/>
      <c r="F664" s="276"/>
      <c r="G664" s="276"/>
      <c r="H664" s="276"/>
    </row>
    <row r="665">
      <c r="A665" s="276"/>
      <c r="B665" s="276"/>
      <c r="C665" s="276"/>
      <c r="D665" s="277"/>
      <c r="E665" s="277"/>
      <c r="F665" s="276"/>
      <c r="G665" s="276"/>
      <c r="H665" s="276"/>
    </row>
    <row r="666">
      <c r="A666" s="276"/>
      <c r="B666" s="276"/>
      <c r="C666" s="276"/>
      <c r="D666" s="277"/>
      <c r="E666" s="277"/>
      <c r="F666" s="276"/>
      <c r="G666" s="276"/>
      <c r="H666" s="276"/>
    </row>
    <row r="667">
      <c r="A667" s="276"/>
      <c r="B667" s="276"/>
      <c r="C667" s="276"/>
      <c r="D667" s="277"/>
      <c r="E667" s="277"/>
      <c r="F667" s="276"/>
      <c r="G667" s="276"/>
      <c r="H667" s="276"/>
    </row>
    <row r="668">
      <c r="A668" s="276"/>
      <c r="B668" s="276"/>
      <c r="C668" s="276"/>
      <c r="D668" s="277"/>
      <c r="E668" s="277"/>
      <c r="F668" s="276"/>
      <c r="G668" s="276"/>
      <c r="H668" s="276"/>
    </row>
    <row r="669">
      <c r="A669" s="276"/>
      <c r="B669" s="276"/>
      <c r="C669" s="276"/>
      <c r="D669" s="277"/>
      <c r="E669" s="277"/>
      <c r="F669" s="276"/>
      <c r="G669" s="276"/>
      <c r="H669" s="276"/>
    </row>
    <row r="670">
      <c r="A670" s="276"/>
      <c r="B670" s="276"/>
      <c r="C670" s="276"/>
      <c r="D670" s="277"/>
      <c r="E670" s="277"/>
      <c r="F670" s="276"/>
      <c r="G670" s="276"/>
      <c r="H670" s="276"/>
    </row>
    <row r="671">
      <c r="A671" s="276"/>
      <c r="B671" s="276"/>
      <c r="C671" s="276"/>
      <c r="D671" s="277"/>
      <c r="E671" s="277"/>
      <c r="F671" s="276"/>
      <c r="G671" s="276"/>
      <c r="H671" s="276"/>
    </row>
    <row r="672">
      <c r="A672" s="276"/>
      <c r="B672" s="276"/>
      <c r="C672" s="276"/>
      <c r="D672" s="277"/>
      <c r="E672" s="277"/>
      <c r="F672" s="276"/>
      <c r="G672" s="276"/>
      <c r="H672" s="276"/>
    </row>
    <row r="673">
      <c r="A673" s="276"/>
      <c r="B673" s="276"/>
      <c r="C673" s="276"/>
      <c r="D673" s="277"/>
      <c r="E673" s="277"/>
      <c r="F673" s="276"/>
      <c r="G673" s="276"/>
      <c r="H673" s="276"/>
    </row>
    <row r="674">
      <c r="A674" s="276"/>
      <c r="B674" s="276"/>
      <c r="C674" s="276"/>
      <c r="D674" s="277"/>
      <c r="E674" s="277"/>
      <c r="F674" s="276"/>
      <c r="G674" s="276"/>
      <c r="H674" s="276"/>
    </row>
    <row r="675">
      <c r="A675" s="276"/>
      <c r="B675" s="276"/>
      <c r="C675" s="276"/>
      <c r="D675" s="277"/>
      <c r="E675" s="277"/>
      <c r="F675" s="276"/>
      <c r="G675" s="276"/>
      <c r="H675" s="276"/>
    </row>
    <row r="676">
      <c r="A676" s="276"/>
      <c r="B676" s="276"/>
      <c r="C676" s="276"/>
      <c r="D676" s="277"/>
      <c r="E676" s="277"/>
      <c r="F676" s="276"/>
      <c r="G676" s="276"/>
      <c r="H676" s="276"/>
    </row>
    <row r="677">
      <c r="A677" s="276"/>
      <c r="B677" s="276"/>
      <c r="C677" s="276"/>
      <c r="D677" s="277"/>
      <c r="E677" s="277"/>
      <c r="F677" s="276"/>
      <c r="G677" s="276"/>
      <c r="H677" s="276"/>
    </row>
    <row r="678">
      <c r="A678" s="276"/>
      <c r="B678" s="276"/>
      <c r="C678" s="276"/>
      <c r="D678" s="277"/>
      <c r="E678" s="277"/>
      <c r="F678" s="276"/>
      <c r="G678" s="276"/>
      <c r="H678" s="276"/>
    </row>
    <row r="679">
      <c r="A679" s="276"/>
      <c r="B679" s="276"/>
      <c r="C679" s="276"/>
      <c r="D679" s="277"/>
      <c r="E679" s="277"/>
      <c r="F679" s="276"/>
      <c r="G679" s="276"/>
      <c r="H679" s="276"/>
    </row>
    <row r="680">
      <c r="A680" s="276"/>
      <c r="B680" s="276"/>
      <c r="C680" s="276"/>
      <c r="D680" s="277"/>
      <c r="E680" s="277"/>
      <c r="F680" s="276"/>
      <c r="G680" s="276"/>
      <c r="H680" s="276"/>
    </row>
    <row r="681">
      <c r="A681" s="276"/>
      <c r="B681" s="276"/>
      <c r="C681" s="276"/>
      <c r="D681" s="277"/>
      <c r="E681" s="277"/>
      <c r="F681" s="276"/>
      <c r="G681" s="276"/>
      <c r="H681" s="276"/>
    </row>
    <row r="682">
      <c r="A682" s="276"/>
      <c r="B682" s="276"/>
      <c r="C682" s="276"/>
      <c r="D682" s="277"/>
      <c r="E682" s="277"/>
      <c r="F682" s="276"/>
      <c r="G682" s="276"/>
      <c r="H682" s="276"/>
    </row>
    <row r="683">
      <c r="A683" s="276"/>
      <c r="B683" s="276"/>
      <c r="C683" s="276"/>
      <c r="D683" s="277"/>
      <c r="E683" s="277"/>
      <c r="F683" s="276"/>
      <c r="G683" s="276"/>
      <c r="H683" s="276"/>
    </row>
    <row r="684">
      <c r="A684" s="276"/>
      <c r="B684" s="276"/>
      <c r="C684" s="276"/>
      <c r="D684" s="277"/>
      <c r="E684" s="277"/>
      <c r="F684" s="276"/>
      <c r="G684" s="276"/>
      <c r="H684" s="276"/>
    </row>
    <row r="685">
      <c r="A685" s="276"/>
      <c r="B685" s="276"/>
      <c r="C685" s="276"/>
      <c r="D685" s="277"/>
      <c r="E685" s="277"/>
      <c r="F685" s="276"/>
      <c r="G685" s="276"/>
      <c r="H685" s="276"/>
    </row>
    <row r="686">
      <c r="A686" s="276"/>
      <c r="B686" s="276"/>
      <c r="C686" s="276"/>
      <c r="D686" s="277"/>
      <c r="E686" s="277"/>
      <c r="F686" s="276"/>
      <c r="G686" s="276"/>
      <c r="H686" s="276"/>
    </row>
    <row r="687">
      <c r="A687" s="276"/>
      <c r="B687" s="276"/>
      <c r="C687" s="276"/>
      <c r="D687" s="277"/>
      <c r="E687" s="277"/>
      <c r="F687" s="276"/>
      <c r="G687" s="276"/>
      <c r="H687" s="276"/>
    </row>
    <row r="688">
      <c r="A688" s="276"/>
      <c r="B688" s="276"/>
      <c r="C688" s="276"/>
      <c r="D688" s="277"/>
      <c r="E688" s="277"/>
      <c r="F688" s="276"/>
      <c r="G688" s="276"/>
      <c r="H688" s="276"/>
    </row>
    <row r="689">
      <c r="A689" s="276"/>
      <c r="B689" s="276"/>
      <c r="C689" s="276"/>
      <c r="D689" s="277"/>
      <c r="E689" s="277"/>
      <c r="F689" s="276"/>
      <c r="G689" s="276"/>
      <c r="H689" s="276"/>
    </row>
    <row r="690">
      <c r="A690" s="276"/>
      <c r="B690" s="276"/>
      <c r="C690" s="276"/>
      <c r="D690" s="277"/>
      <c r="E690" s="277"/>
      <c r="F690" s="276"/>
      <c r="G690" s="276"/>
      <c r="H690" s="276"/>
    </row>
    <row r="691">
      <c r="A691" s="276"/>
      <c r="B691" s="276"/>
      <c r="C691" s="276"/>
      <c r="D691" s="277"/>
      <c r="E691" s="277"/>
      <c r="F691" s="276"/>
      <c r="G691" s="276"/>
      <c r="H691" s="276"/>
    </row>
    <row r="692">
      <c r="A692" s="276"/>
      <c r="B692" s="276"/>
      <c r="C692" s="276"/>
      <c r="D692" s="277"/>
      <c r="E692" s="277"/>
      <c r="F692" s="276"/>
      <c r="G692" s="276"/>
      <c r="H692" s="276"/>
    </row>
    <row r="693">
      <c r="A693" s="276"/>
      <c r="B693" s="276"/>
      <c r="C693" s="276"/>
      <c r="D693" s="277"/>
      <c r="E693" s="277"/>
      <c r="F693" s="276"/>
      <c r="G693" s="276"/>
      <c r="H693" s="276"/>
    </row>
    <row r="694">
      <c r="A694" s="276"/>
      <c r="B694" s="276"/>
      <c r="C694" s="276"/>
      <c r="D694" s="277"/>
      <c r="E694" s="277"/>
      <c r="F694" s="276"/>
      <c r="G694" s="276"/>
      <c r="H694" s="276"/>
    </row>
    <row r="695">
      <c r="A695" s="276"/>
      <c r="B695" s="276"/>
      <c r="C695" s="276"/>
      <c r="D695" s="277"/>
      <c r="E695" s="277"/>
      <c r="F695" s="276"/>
      <c r="G695" s="276"/>
      <c r="H695" s="276"/>
    </row>
    <row r="696">
      <c r="A696" s="276"/>
      <c r="B696" s="276"/>
      <c r="C696" s="276"/>
      <c r="D696" s="277"/>
      <c r="E696" s="277"/>
      <c r="F696" s="276"/>
      <c r="G696" s="276"/>
      <c r="H696" s="276"/>
    </row>
    <row r="697">
      <c r="A697" s="276"/>
      <c r="B697" s="276"/>
      <c r="C697" s="276"/>
      <c r="D697" s="277"/>
      <c r="E697" s="277"/>
      <c r="F697" s="276"/>
      <c r="G697" s="276"/>
      <c r="H697" s="276"/>
    </row>
    <row r="698">
      <c r="A698" s="276"/>
      <c r="B698" s="276"/>
      <c r="C698" s="276"/>
      <c r="D698" s="277"/>
      <c r="E698" s="277"/>
      <c r="F698" s="276"/>
      <c r="G698" s="276"/>
      <c r="H698" s="276"/>
    </row>
    <row r="699">
      <c r="A699" s="276"/>
      <c r="B699" s="276"/>
      <c r="C699" s="276"/>
      <c r="D699" s="277"/>
      <c r="E699" s="277"/>
      <c r="F699" s="276"/>
      <c r="G699" s="276"/>
      <c r="H699" s="276"/>
    </row>
    <row r="700">
      <c r="A700" s="276"/>
      <c r="B700" s="276"/>
      <c r="C700" s="276"/>
      <c r="D700" s="277"/>
      <c r="E700" s="277"/>
      <c r="F700" s="276"/>
      <c r="G700" s="276"/>
      <c r="H700" s="276"/>
    </row>
    <row r="701">
      <c r="A701" s="276"/>
      <c r="B701" s="276"/>
      <c r="C701" s="276"/>
      <c r="D701" s="277"/>
      <c r="E701" s="277"/>
      <c r="F701" s="276"/>
      <c r="G701" s="276"/>
      <c r="H701" s="276"/>
    </row>
    <row r="702">
      <c r="A702" s="276"/>
      <c r="B702" s="276"/>
      <c r="C702" s="276"/>
      <c r="D702" s="277"/>
      <c r="E702" s="277"/>
      <c r="F702" s="276"/>
      <c r="G702" s="276"/>
      <c r="H702" s="276"/>
    </row>
    <row r="703">
      <c r="A703" s="276"/>
      <c r="B703" s="276"/>
      <c r="C703" s="276"/>
      <c r="D703" s="277"/>
      <c r="E703" s="277"/>
      <c r="F703" s="276"/>
      <c r="G703" s="276"/>
      <c r="H703" s="276"/>
    </row>
    <row r="704">
      <c r="A704" s="276"/>
      <c r="B704" s="276"/>
      <c r="C704" s="276"/>
      <c r="D704" s="277"/>
      <c r="E704" s="277"/>
      <c r="F704" s="276"/>
      <c r="G704" s="276"/>
      <c r="H704" s="276"/>
    </row>
    <row r="705">
      <c r="A705" s="276"/>
      <c r="B705" s="276"/>
      <c r="C705" s="276"/>
      <c r="D705" s="277"/>
      <c r="E705" s="277"/>
      <c r="F705" s="276"/>
      <c r="G705" s="276"/>
      <c r="H705" s="276"/>
    </row>
    <row r="706">
      <c r="A706" s="276"/>
      <c r="B706" s="276"/>
      <c r="C706" s="276"/>
      <c r="D706" s="277"/>
      <c r="E706" s="277"/>
      <c r="F706" s="276"/>
      <c r="G706" s="276"/>
      <c r="H706" s="276"/>
    </row>
    <row r="707">
      <c r="A707" s="276"/>
      <c r="B707" s="276"/>
      <c r="C707" s="276"/>
      <c r="D707" s="277"/>
      <c r="E707" s="277"/>
      <c r="F707" s="276"/>
      <c r="G707" s="276"/>
      <c r="H707" s="276"/>
    </row>
    <row r="708">
      <c r="A708" s="276"/>
      <c r="B708" s="276"/>
      <c r="C708" s="276"/>
      <c r="D708" s="277"/>
      <c r="E708" s="277"/>
      <c r="F708" s="276"/>
      <c r="G708" s="276"/>
      <c r="H708" s="276"/>
    </row>
    <row r="709">
      <c r="A709" s="276"/>
      <c r="B709" s="276"/>
      <c r="C709" s="276"/>
      <c r="D709" s="277"/>
      <c r="E709" s="277"/>
      <c r="F709" s="276"/>
      <c r="G709" s="276"/>
      <c r="H709" s="276"/>
    </row>
    <row r="710">
      <c r="A710" s="276"/>
      <c r="B710" s="276"/>
      <c r="C710" s="276"/>
      <c r="D710" s="277"/>
      <c r="E710" s="277"/>
      <c r="F710" s="276"/>
      <c r="G710" s="276"/>
      <c r="H710" s="276"/>
    </row>
    <row r="711">
      <c r="A711" s="276"/>
      <c r="B711" s="276"/>
      <c r="C711" s="276"/>
      <c r="D711" s="277"/>
      <c r="E711" s="277"/>
      <c r="F711" s="276"/>
      <c r="G711" s="276"/>
      <c r="H711" s="276"/>
    </row>
    <row r="712">
      <c r="A712" s="276"/>
      <c r="B712" s="276"/>
      <c r="C712" s="276"/>
      <c r="D712" s="277"/>
      <c r="E712" s="277"/>
      <c r="F712" s="276"/>
      <c r="G712" s="276"/>
      <c r="H712" s="276"/>
    </row>
    <row r="713">
      <c r="A713" s="276"/>
      <c r="B713" s="276"/>
      <c r="C713" s="276"/>
      <c r="D713" s="277"/>
      <c r="E713" s="277"/>
      <c r="F713" s="276"/>
      <c r="G713" s="276"/>
      <c r="H713" s="276"/>
    </row>
    <row r="714">
      <c r="A714" s="276"/>
      <c r="B714" s="276"/>
      <c r="C714" s="276"/>
      <c r="D714" s="277"/>
      <c r="E714" s="277"/>
      <c r="F714" s="276"/>
      <c r="G714" s="276"/>
      <c r="H714" s="276"/>
    </row>
    <row r="715">
      <c r="A715" s="276"/>
      <c r="B715" s="276"/>
      <c r="C715" s="276"/>
      <c r="D715" s="277"/>
      <c r="E715" s="277"/>
      <c r="F715" s="276"/>
      <c r="G715" s="276"/>
      <c r="H715" s="276"/>
    </row>
    <row r="716">
      <c r="A716" s="276"/>
      <c r="B716" s="276"/>
      <c r="C716" s="276"/>
      <c r="D716" s="277"/>
      <c r="E716" s="277"/>
      <c r="F716" s="276"/>
      <c r="G716" s="276"/>
      <c r="H716" s="276"/>
    </row>
    <row r="717">
      <c r="A717" s="276"/>
      <c r="B717" s="276"/>
      <c r="C717" s="276"/>
      <c r="D717" s="277"/>
      <c r="E717" s="277"/>
      <c r="F717" s="276"/>
      <c r="G717" s="276"/>
      <c r="H717" s="276"/>
    </row>
    <row r="718">
      <c r="A718" s="276"/>
      <c r="B718" s="276"/>
      <c r="C718" s="276"/>
      <c r="D718" s="277"/>
      <c r="E718" s="277"/>
      <c r="F718" s="276"/>
      <c r="G718" s="276"/>
      <c r="H718" s="276"/>
    </row>
    <row r="719">
      <c r="A719" s="276"/>
      <c r="B719" s="276"/>
      <c r="C719" s="276"/>
      <c r="D719" s="277"/>
      <c r="E719" s="277"/>
      <c r="F719" s="276"/>
      <c r="G719" s="276"/>
      <c r="H719" s="276"/>
    </row>
    <row r="720">
      <c r="A720" s="276"/>
      <c r="B720" s="276"/>
      <c r="C720" s="276"/>
      <c r="D720" s="277"/>
      <c r="E720" s="277"/>
      <c r="F720" s="276"/>
      <c r="G720" s="276"/>
      <c r="H720" s="276"/>
    </row>
    <row r="721">
      <c r="A721" s="276"/>
      <c r="B721" s="276"/>
      <c r="C721" s="276"/>
      <c r="D721" s="277"/>
      <c r="E721" s="277"/>
      <c r="F721" s="276"/>
      <c r="G721" s="276"/>
      <c r="H721" s="276"/>
    </row>
    <row r="722">
      <c r="A722" s="276"/>
      <c r="B722" s="276"/>
      <c r="C722" s="276"/>
      <c r="D722" s="277"/>
      <c r="E722" s="277"/>
      <c r="F722" s="276"/>
      <c r="G722" s="276"/>
      <c r="H722" s="276"/>
    </row>
    <row r="723">
      <c r="A723" s="276"/>
      <c r="B723" s="276"/>
      <c r="C723" s="276"/>
      <c r="D723" s="277"/>
      <c r="E723" s="277"/>
      <c r="F723" s="276"/>
      <c r="G723" s="276"/>
      <c r="H723" s="276"/>
    </row>
    <row r="724">
      <c r="A724" s="276"/>
      <c r="B724" s="276"/>
      <c r="C724" s="276"/>
      <c r="D724" s="277"/>
      <c r="E724" s="277"/>
      <c r="F724" s="276"/>
      <c r="G724" s="276"/>
      <c r="H724" s="276"/>
    </row>
    <row r="725">
      <c r="A725" s="276"/>
      <c r="B725" s="276"/>
      <c r="C725" s="276"/>
      <c r="D725" s="277"/>
      <c r="E725" s="277"/>
      <c r="F725" s="276"/>
      <c r="G725" s="276"/>
      <c r="H725" s="276"/>
    </row>
    <row r="726">
      <c r="A726" s="276"/>
      <c r="B726" s="276"/>
      <c r="C726" s="276"/>
      <c r="D726" s="277"/>
      <c r="E726" s="277"/>
      <c r="F726" s="276"/>
      <c r="G726" s="276"/>
      <c r="H726" s="276"/>
    </row>
    <row r="727">
      <c r="A727" s="276"/>
      <c r="B727" s="276"/>
      <c r="C727" s="276"/>
      <c r="D727" s="277"/>
      <c r="E727" s="277"/>
      <c r="F727" s="276"/>
      <c r="G727" s="276"/>
      <c r="H727" s="276"/>
    </row>
    <row r="728">
      <c r="A728" s="276"/>
      <c r="B728" s="276"/>
      <c r="C728" s="276"/>
      <c r="D728" s="277"/>
      <c r="E728" s="277"/>
      <c r="F728" s="276"/>
      <c r="G728" s="276"/>
      <c r="H728" s="276"/>
    </row>
    <row r="729">
      <c r="A729" s="276"/>
      <c r="B729" s="276"/>
      <c r="C729" s="276"/>
      <c r="D729" s="277"/>
      <c r="E729" s="277"/>
      <c r="F729" s="276"/>
      <c r="G729" s="276"/>
      <c r="H729" s="276"/>
    </row>
    <row r="730">
      <c r="A730" s="276"/>
      <c r="B730" s="276"/>
      <c r="C730" s="276"/>
      <c r="D730" s="277"/>
      <c r="E730" s="277"/>
      <c r="F730" s="276"/>
      <c r="G730" s="276"/>
      <c r="H730" s="276"/>
    </row>
    <row r="731">
      <c r="A731" s="276"/>
      <c r="B731" s="276"/>
      <c r="C731" s="276"/>
      <c r="D731" s="277"/>
      <c r="E731" s="277"/>
      <c r="F731" s="276"/>
      <c r="G731" s="276"/>
      <c r="H731" s="276"/>
    </row>
    <row r="732">
      <c r="A732" s="276"/>
      <c r="B732" s="276"/>
      <c r="C732" s="276"/>
      <c r="D732" s="277"/>
      <c r="E732" s="277"/>
      <c r="F732" s="276"/>
      <c r="G732" s="276"/>
      <c r="H732" s="276"/>
    </row>
    <row r="733">
      <c r="A733" s="276"/>
      <c r="B733" s="276"/>
      <c r="C733" s="276"/>
      <c r="D733" s="277"/>
      <c r="E733" s="277"/>
      <c r="F733" s="276"/>
      <c r="G733" s="276"/>
      <c r="H733" s="276"/>
    </row>
    <row r="734">
      <c r="A734" s="276"/>
      <c r="B734" s="276"/>
      <c r="C734" s="276"/>
      <c r="D734" s="277"/>
      <c r="E734" s="277"/>
      <c r="F734" s="276"/>
      <c r="G734" s="276"/>
      <c r="H734" s="276"/>
    </row>
    <row r="735">
      <c r="A735" s="276"/>
      <c r="B735" s="276"/>
      <c r="C735" s="276"/>
      <c r="D735" s="277"/>
      <c r="E735" s="277"/>
      <c r="F735" s="276"/>
      <c r="G735" s="276"/>
      <c r="H735" s="276"/>
    </row>
    <row r="736">
      <c r="A736" s="276"/>
      <c r="B736" s="276"/>
      <c r="C736" s="276"/>
      <c r="D736" s="277"/>
      <c r="E736" s="277"/>
      <c r="F736" s="276"/>
      <c r="G736" s="276"/>
      <c r="H736" s="276"/>
    </row>
    <row r="737">
      <c r="A737" s="276"/>
      <c r="B737" s="276"/>
      <c r="C737" s="276"/>
      <c r="D737" s="277"/>
      <c r="E737" s="277"/>
      <c r="F737" s="276"/>
      <c r="G737" s="276"/>
      <c r="H737" s="276"/>
    </row>
    <row r="738">
      <c r="A738" s="276"/>
      <c r="B738" s="276"/>
      <c r="C738" s="276"/>
      <c r="D738" s="277"/>
      <c r="E738" s="277"/>
      <c r="F738" s="276"/>
      <c r="G738" s="276"/>
      <c r="H738" s="276"/>
    </row>
    <row r="739">
      <c r="A739" s="276"/>
      <c r="B739" s="276"/>
      <c r="C739" s="276"/>
      <c r="D739" s="277"/>
      <c r="E739" s="277"/>
      <c r="F739" s="276"/>
      <c r="G739" s="276"/>
      <c r="H739" s="276"/>
    </row>
    <row r="740">
      <c r="A740" s="276"/>
      <c r="B740" s="276"/>
      <c r="C740" s="276"/>
      <c r="D740" s="277"/>
      <c r="E740" s="277"/>
      <c r="F740" s="276"/>
      <c r="G740" s="276"/>
      <c r="H740" s="276"/>
    </row>
    <row r="741">
      <c r="A741" s="276"/>
      <c r="B741" s="276"/>
      <c r="C741" s="276"/>
      <c r="D741" s="277"/>
      <c r="E741" s="277"/>
      <c r="F741" s="276"/>
      <c r="G741" s="276"/>
      <c r="H741" s="276"/>
    </row>
    <row r="742">
      <c r="A742" s="276"/>
      <c r="B742" s="276"/>
      <c r="C742" s="276"/>
      <c r="D742" s="277"/>
      <c r="E742" s="277"/>
      <c r="F742" s="276"/>
      <c r="G742" s="276"/>
      <c r="H742" s="276"/>
    </row>
    <row r="743">
      <c r="A743" s="276"/>
      <c r="B743" s="276"/>
      <c r="C743" s="276"/>
      <c r="D743" s="277"/>
      <c r="E743" s="277"/>
      <c r="F743" s="276"/>
      <c r="G743" s="276"/>
      <c r="H743" s="276"/>
    </row>
    <row r="744">
      <c r="A744" s="276"/>
      <c r="B744" s="276"/>
      <c r="C744" s="276"/>
      <c r="D744" s="277"/>
      <c r="E744" s="277"/>
      <c r="F744" s="276"/>
      <c r="G744" s="276"/>
      <c r="H744" s="276"/>
    </row>
    <row r="745">
      <c r="A745" s="276"/>
      <c r="B745" s="276"/>
      <c r="C745" s="276"/>
      <c r="D745" s="277"/>
      <c r="E745" s="277"/>
      <c r="F745" s="276"/>
      <c r="G745" s="276"/>
      <c r="H745" s="276"/>
    </row>
    <row r="746">
      <c r="A746" s="276"/>
      <c r="B746" s="276"/>
      <c r="C746" s="276"/>
      <c r="D746" s="277"/>
      <c r="E746" s="277"/>
      <c r="F746" s="276"/>
      <c r="G746" s="276"/>
      <c r="H746" s="276"/>
    </row>
    <row r="747">
      <c r="A747" s="276"/>
      <c r="B747" s="276"/>
      <c r="C747" s="276"/>
      <c r="D747" s="277"/>
      <c r="E747" s="277"/>
      <c r="F747" s="276"/>
      <c r="G747" s="276"/>
      <c r="H747" s="276"/>
    </row>
    <row r="748">
      <c r="A748" s="276"/>
      <c r="B748" s="276"/>
      <c r="C748" s="276"/>
      <c r="D748" s="277"/>
      <c r="E748" s="277"/>
      <c r="F748" s="276"/>
      <c r="G748" s="276"/>
      <c r="H748" s="276"/>
    </row>
    <row r="749">
      <c r="A749" s="276"/>
      <c r="B749" s="276"/>
      <c r="C749" s="276"/>
      <c r="D749" s="277"/>
      <c r="E749" s="277"/>
      <c r="F749" s="276"/>
      <c r="G749" s="276"/>
      <c r="H749" s="276"/>
    </row>
    <row r="750">
      <c r="A750" s="276"/>
      <c r="B750" s="276"/>
      <c r="C750" s="276"/>
      <c r="D750" s="277"/>
      <c r="E750" s="277"/>
      <c r="F750" s="276"/>
      <c r="G750" s="276"/>
      <c r="H750" s="276"/>
    </row>
    <row r="751">
      <c r="A751" s="276"/>
      <c r="B751" s="276"/>
      <c r="C751" s="276"/>
      <c r="D751" s="277"/>
      <c r="E751" s="277"/>
      <c r="F751" s="276"/>
      <c r="G751" s="276"/>
      <c r="H751" s="276"/>
    </row>
    <row r="752">
      <c r="A752" s="276"/>
      <c r="B752" s="276"/>
      <c r="C752" s="276"/>
      <c r="D752" s="277"/>
      <c r="E752" s="277"/>
      <c r="F752" s="276"/>
      <c r="G752" s="276"/>
      <c r="H752" s="276"/>
    </row>
    <row r="753">
      <c r="A753" s="276"/>
      <c r="B753" s="276"/>
      <c r="C753" s="276"/>
      <c r="D753" s="277"/>
      <c r="E753" s="277"/>
      <c r="F753" s="276"/>
      <c r="G753" s="276"/>
      <c r="H753" s="276"/>
    </row>
    <row r="754">
      <c r="A754" s="276"/>
      <c r="B754" s="276"/>
      <c r="C754" s="276"/>
      <c r="D754" s="277"/>
      <c r="E754" s="277"/>
      <c r="F754" s="276"/>
      <c r="G754" s="276"/>
      <c r="H754" s="276"/>
    </row>
    <row r="755">
      <c r="A755" s="276"/>
      <c r="B755" s="276"/>
      <c r="C755" s="276"/>
      <c r="D755" s="277"/>
      <c r="E755" s="277"/>
      <c r="F755" s="276"/>
      <c r="G755" s="276"/>
      <c r="H755" s="276"/>
    </row>
    <row r="756">
      <c r="A756" s="276"/>
      <c r="B756" s="276"/>
      <c r="C756" s="276"/>
      <c r="D756" s="277"/>
      <c r="E756" s="277"/>
      <c r="F756" s="276"/>
      <c r="G756" s="276"/>
      <c r="H756" s="276"/>
    </row>
    <row r="757">
      <c r="A757" s="276"/>
      <c r="B757" s="276"/>
      <c r="C757" s="276"/>
      <c r="D757" s="277"/>
      <c r="E757" s="277"/>
      <c r="F757" s="276"/>
      <c r="G757" s="276"/>
      <c r="H757" s="276"/>
    </row>
    <row r="758">
      <c r="A758" s="276"/>
      <c r="B758" s="276"/>
      <c r="C758" s="276"/>
      <c r="D758" s="277"/>
      <c r="E758" s="277"/>
      <c r="F758" s="276"/>
      <c r="G758" s="276"/>
      <c r="H758" s="276"/>
    </row>
    <row r="759">
      <c r="A759" s="276"/>
      <c r="B759" s="276"/>
      <c r="C759" s="276"/>
      <c r="D759" s="277"/>
      <c r="E759" s="277"/>
      <c r="F759" s="276"/>
      <c r="G759" s="276"/>
      <c r="H759" s="276"/>
    </row>
    <row r="760">
      <c r="A760" s="276"/>
      <c r="B760" s="276"/>
      <c r="C760" s="276"/>
      <c r="D760" s="277"/>
      <c r="E760" s="277"/>
      <c r="F760" s="276"/>
      <c r="G760" s="276"/>
      <c r="H760" s="276"/>
    </row>
    <row r="761">
      <c r="A761" s="276"/>
      <c r="B761" s="276"/>
      <c r="C761" s="276"/>
      <c r="D761" s="277"/>
      <c r="E761" s="277"/>
      <c r="F761" s="276"/>
      <c r="G761" s="276"/>
      <c r="H761" s="276"/>
    </row>
    <row r="762">
      <c r="A762" s="276"/>
      <c r="B762" s="276"/>
      <c r="C762" s="276"/>
      <c r="D762" s="277"/>
      <c r="E762" s="277"/>
      <c r="F762" s="276"/>
      <c r="G762" s="276"/>
      <c r="H762" s="276"/>
    </row>
    <row r="763">
      <c r="A763" s="276"/>
      <c r="B763" s="276"/>
      <c r="C763" s="276"/>
      <c r="D763" s="277"/>
      <c r="E763" s="277"/>
      <c r="F763" s="276"/>
      <c r="G763" s="276"/>
      <c r="H763" s="276"/>
    </row>
    <row r="764">
      <c r="A764" s="276"/>
      <c r="B764" s="276"/>
      <c r="C764" s="276"/>
      <c r="D764" s="277"/>
      <c r="E764" s="277"/>
      <c r="F764" s="276"/>
      <c r="G764" s="276"/>
      <c r="H764" s="276"/>
    </row>
    <row r="765">
      <c r="A765" s="276"/>
      <c r="B765" s="276"/>
      <c r="C765" s="276"/>
      <c r="D765" s="277"/>
      <c r="E765" s="277"/>
      <c r="F765" s="276"/>
      <c r="G765" s="276"/>
      <c r="H765" s="276"/>
    </row>
    <row r="766">
      <c r="A766" s="276"/>
      <c r="B766" s="276"/>
      <c r="C766" s="276"/>
      <c r="D766" s="277"/>
      <c r="E766" s="277"/>
      <c r="F766" s="276"/>
      <c r="G766" s="276"/>
      <c r="H766" s="276"/>
    </row>
    <row r="767">
      <c r="A767" s="276"/>
      <c r="B767" s="276"/>
      <c r="C767" s="276"/>
      <c r="D767" s="277"/>
      <c r="E767" s="277"/>
      <c r="F767" s="276"/>
      <c r="G767" s="276"/>
      <c r="H767" s="276"/>
    </row>
    <row r="768">
      <c r="A768" s="276"/>
      <c r="B768" s="276"/>
      <c r="C768" s="276"/>
      <c r="D768" s="277"/>
      <c r="E768" s="277"/>
      <c r="F768" s="276"/>
      <c r="G768" s="276"/>
      <c r="H768" s="276"/>
    </row>
    <row r="769">
      <c r="A769" s="276"/>
      <c r="B769" s="276"/>
      <c r="C769" s="276"/>
      <c r="D769" s="277"/>
      <c r="E769" s="277"/>
      <c r="F769" s="276"/>
      <c r="G769" s="276"/>
      <c r="H769" s="276"/>
    </row>
    <row r="770">
      <c r="A770" s="276"/>
      <c r="B770" s="276"/>
      <c r="C770" s="276"/>
      <c r="D770" s="277"/>
      <c r="E770" s="277"/>
      <c r="F770" s="276"/>
      <c r="G770" s="276"/>
      <c r="H770" s="276"/>
    </row>
    <row r="771">
      <c r="A771" s="276"/>
      <c r="B771" s="276"/>
      <c r="C771" s="276"/>
      <c r="D771" s="277"/>
      <c r="E771" s="277"/>
      <c r="F771" s="276"/>
      <c r="G771" s="276"/>
      <c r="H771" s="276"/>
    </row>
    <row r="772">
      <c r="A772" s="276"/>
      <c r="B772" s="276"/>
      <c r="C772" s="276"/>
      <c r="D772" s="277"/>
      <c r="E772" s="277"/>
      <c r="F772" s="276"/>
      <c r="G772" s="276"/>
      <c r="H772" s="276"/>
    </row>
    <row r="773">
      <c r="A773" s="276"/>
      <c r="B773" s="276"/>
      <c r="C773" s="276"/>
      <c r="D773" s="277"/>
      <c r="E773" s="277"/>
      <c r="F773" s="276"/>
      <c r="G773" s="276"/>
      <c r="H773" s="276"/>
    </row>
    <row r="774">
      <c r="A774" s="276"/>
      <c r="B774" s="276"/>
      <c r="C774" s="276"/>
      <c r="D774" s="277"/>
      <c r="E774" s="277"/>
      <c r="F774" s="276"/>
      <c r="G774" s="276"/>
      <c r="H774" s="276"/>
    </row>
    <row r="775">
      <c r="A775" s="276"/>
      <c r="B775" s="276"/>
      <c r="C775" s="276"/>
      <c r="D775" s="277"/>
      <c r="E775" s="277"/>
      <c r="F775" s="276"/>
      <c r="G775" s="276"/>
      <c r="H775" s="276"/>
    </row>
    <row r="776">
      <c r="A776" s="276"/>
      <c r="B776" s="276"/>
      <c r="C776" s="276"/>
      <c r="D776" s="277"/>
      <c r="E776" s="277"/>
      <c r="F776" s="276"/>
      <c r="G776" s="276"/>
      <c r="H776" s="276"/>
    </row>
    <row r="777">
      <c r="A777" s="276"/>
      <c r="B777" s="276"/>
      <c r="C777" s="276"/>
      <c r="D777" s="277"/>
      <c r="E777" s="277"/>
      <c r="F777" s="276"/>
      <c r="G777" s="276"/>
      <c r="H777" s="276"/>
    </row>
    <row r="778">
      <c r="A778" s="276"/>
      <c r="B778" s="276"/>
      <c r="C778" s="276"/>
      <c r="D778" s="277"/>
      <c r="E778" s="277"/>
      <c r="F778" s="276"/>
      <c r="G778" s="276"/>
      <c r="H778" s="276"/>
    </row>
    <row r="779">
      <c r="A779" s="276"/>
      <c r="B779" s="276"/>
      <c r="C779" s="276"/>
      <c r="D779" s="277"/>
      <c r="E779" s="277"/>
      <c r="F779" s="276"/>
      <c r="G779" s="276"/>
      <c r="H779" s="276"/>
    </row>
    <row r="780">
      <c r="A780" s="276"/>
      <c r="B780" s="276"/>
      <c r="C780" s="276"/>
      <c r="D780" s="277"/>
      <c r="E780" s="277"/>
      <c r="F780" s="276"/>
      <c r="G780" s="276"/>
      <c r="H780" s="276"/>
    </row>
    <row r="781">
      <c r="A781" s="276"/>
      <c r="B781" s="276"/>
      <c r="C781" s="276"/>
      <c r="D781" s="277"/>
      <c r="E781" s="277"/>
      <c r="F781" s="276"/>
      <c r="G781" s="276"/>
      <c r="H781" s="276"/>
    </row>
    <row r="782">
      <c r="A782" s="276"/>
      <c r="B782" s="276"/>
      <c r="C782" s="276"/>
      <c r="D782" s="277"/>
      <c r="E782" s="277"/>
      <c r="F782" s="276"/>
      <c r="G782" s="276"/>
      <c r="H782" s="276"/>
    </row>
    <row r="783">
      <c r="A783" s="276"/>
      <c r="B783" s="276"/>
      <c r="C783" s="276"/>
      <c r="D783" s="277"/>
      <c r="E783" s="277"/>
      <c r="F783" s="276"/>
      <c r="G783" s="276"/>
      <c r="H783" s="276"/>
    </row>
    <row r="784">
      <c r="A784" s="276"/>
      <c r="B784" s="276"/>
      <c r="C784" s="276"/>
      <c r="D784" s="277"/>
      <c r="E784" s="277"/>
      <c r="F784" s="276"/>
      <c r="G784" s="276"/>
      <c r="H784" s="276"/>
    </row>
    <row r="785">
      <c r="A785" s="276"/>
      <c r="B785" s="276"/>
      <c r="C785" s="276"/>
      <c r="D785" s="277"/>
      <c r="E785" s="277"/>
      <c r="F785" s="276"/>
      <c r="G785" s="276"/>
      <c r="H785" s="276"/>
    </row>
    <row r="786">
      <c r="A786" s="276"/>
      <c r="B786" s="276"/>
      <c r="C786" s="276"/>
      <c r="D786" s="277"/>
      <c r="E786" s="277"/>
      <c r="F786" s="276"/>
      <c r="G786" s="276"/>
      <c r="H786" s="276"/>
    </row>
    <row r="787">
      <c r="A787" s="276"/>
      <c r="B787" s="276"/>
      <c r="C787" s="276"/>
      <c r="D787" s="277"/>
      <c r="E787" s="277"/>
      <c r="F787" s="276"/>
      <c r="G787" s="276"/>
      <c r="H787" s="276"/>
    </row>
    <row r="788">
      <c r="A788" s="276"/>
      <c r="B788" s="276"/>
      <c r="C788" s="276"/>
      <c r="D788" s="277"/>
      <c r="E788" s="277"/>
      <c r="F788" s="276"/>
      <c r="G788" s="276"/>
      <c r="H788" s="276"/>
    </row>
    <row r="789">
      <c r="A789" s="276"/>
      <c r="B789" s="276"/>
      <c r="C789" s="276"/>
      <c r="D789" s="277"/>
      <c r="E789" s="277"/>
      <c r="F789" s="276"/>
      <c r="G789" s="276"/>
      <c r="H789" s="276"/>
    </row>
    <row r="790">
      <c r="A790" s="276"/>
      <c r="B790" s="276"/>
      <c r="C790" s="276"/>
      <c r="D790" s="277"/>
      <c r="E790" s="277"/>
      <c r="F790" s="276"/>
      <c r="G790" s="276"/>
      <c r="H790" s="276"/>
    </row>
    <row r="791">
      <c r="A791" s="276"/>
      <c r="B791" s="276"/>
      <c r="C791" s="276"/>
      <c r="D791" s="277"/>
      <c r="E791" s="277"/>
      <c r="F791" s="276"/>
      <c r="G791" s="276"/>
      <c r="H791" s="276"/>
    </row>
    <row r="792">
      <c r="A792" s="276"/>
      <c r="B792" s="276"/>
      <c r="C792" s="276"/>
      <c r="D792" s="277"/>
      <c r="E792" s="277"/>
      <c r="F792" s="276"/>
      <c r="G792" s="276"/>
      <c r="H792" s="276"/>
    </row>
    <row r="793">
      <c r="A793" s="276"/>
      <c r="B793" s="276"/>
      <c r="C793" s="276"/>
      <c r="D793" s="277"/>
      <c r="E793" s="277"/>
      <c r="F793" s="276"/>
      <c r="G793" s="276"/>
      <c r="H793" s="276"/>
    </row>
    <row r="794">
      <c r="A794" s="276"/>
      <c r="B794" s="276"/>
      <c r="C794" s="276"/>
      <c r="D794" s="277"/>
      <c r="E794" s="277"/>
      <c r="F794" s="276"/>
      <c r="G794" s="276"/>
      <c r="H794" s="276"/>
    </row>
    <row r="795">
      <c r="A795" s="276"/>
      <c r="B795" s="276"/>
      <c r="C795" s="276"/>
      <c r="D795" s="277"/>
      <c r="E795" s="277"/>
      <c r="F795" s="276"/>
      <c r="G795" s="276"/>
      <c r="H795" s="276"/>
    </row>
    <row r="796">
      <c r="A796" s="276"/>
      <c r="B796" s="276"/>
      <c r="C796" s="276"/>
      <c r="D796" s="277"/>
      <c r="E796" s="277"/>
      <c r="F796" s="276"/>
      <c r="G796" s="276"/>
      <c r="H796" s="276"/>
    </row>
    <row r="797">
      <c r="A797" s="276"/>
      <c r="B797" s="276"/>
      <c r="C797" s="276"/>
      <c r="D797" s="277"/>
      <c r="E797" s="277"/>
      <c r="F797" s="276"/>
      <c r="G797" s="276"/>
      <c r="H797" s="276"/>
    </row>
    <row r="798">
      <c r="A798" s="276"/>
      <c r="B798" s="276"/>
      <c r="C798" s="276"/>
      <c r="D798" s="277"/>
      <c r="E798" s="277"/>
      <c r="F798" s="276"/>
      <c r="G798" s="276"/>
      <c r="H798" s="276"/>
    </row>
    <row r="799">
      <c r="A799" s="276"/>
      <c r="B799" s="276"/>
      <c r="C799" s="276"/>
      <c r="D799" s="277"/>
      <c r="E799" s="277"/>
      <c r="F799" s="276"/>
      <c r="G799" s="276"/>
      <c r="H799" s="276"/>
    </row>
    <row r="800">
      <c r="A800" s="276"/>
      <c r="B800" s="276"/>
      <c r="C800" s="276"/>
      <c r="D800" s="277"/>
      <c r="E800" s="277"/>
      <c r="F800" s="276"/>
      <c r="G800" s="276"/>
      <c r="H800" s="276"/>
    </row>
    <row r="801">
      <c r="A801" s="276"/>
      <c r="B801" s="276"/>
      <c r="C801" s="276"/>
      <c r="D801" s="277"/>
      <c r="E801" s="277"/>
      <c r="F801" s="276"/>
      <c r="G801" s="276"/>
      <c r="H801" s="276"/>
    </row>
    <row r="802">
      <c r="A802" s="276"/>
      <c r="B802" s="276"/>
      <c r="C802" s="276"/>
      <c r="D802" s="277"/>
      <c r="E802" s="277"/>
      <c r="F802" s="276"/>
      <c r="G802" s="276"/>
      <c r="H802" s="276"/>
    </row>
    <row r="803">
      <c r="A803" s="276"/>
      <c r="B803" s="276"/>
      <c r="C803" s="276"/>
      <c r="D803" s="277"/>
      <c r="E803" s="277"/>
      <c r="F803" s="276"/>
      <c r="G803" s="276"/>
      <c r="H803" s="276"/>
    </row>
    <row r="804">
      <c r="A804" s="276"/>
      <c r="B804" s="276"/>
      <c r="C804" s="276"/>
      <c r="D804" s="277"/>
      <c r="E804" s="277"/>
      <c r="F804" s="276"/>
      <c r="G804" s="276"/>
      <c r="H804" s="276"/>
    </row>
    <row r="805">
      <c r="A805" s="276"/>
      <c r="B805" s="276"/>
      <c r="C805" s="276"/>
      <c r="D805" s="277"/>
      <c r="E805" s="277"/>
      <c r="F805" s="276"/>
      <c r="G805" s="276"/>
      <c r="H805" s="276"/>
    </row>
    <row r="806">
      <c r="A806" s="276"/>
      <c r="B806" s="276"/>
      <c r="C806" s="276"/>
      <c r="D806" s="277"/>
      <c r="E806" s="277"/>
      <c r="F806" s="276"/>
      <c r="G806" s="276"/>
      <c r="H806" s="276"/>
    </row>
    <row r="807">
      <c r="A807" s="276"/>
      <c r="B807" s="276"/>
      <c r="C807" s="276"/>
      <c r="D807" s="277"/>
      <c r="E807" s="277"/>
      <c r="F807" s="276"/>
      <c r="G807" s="276"/>
      <c r="H807" s="276"/>
    </row>
    <row r="808">
      <c r="A808" s="276"/>
      <c r="B808" s="276"/>
      <c r="C808" s="276"/>
      <c r="D808" s="277"/>
      <c r="E808" s="277"/>
      <c r="F808" s="276"/>
      <c r="G808" s="276"/>
      <c r="H808" s="276"/>
    </row>
    <row r="809">
      <c r="A809" s="276"/>
      <c r="B809" s="276"/>
      <c r="C809" s="276"/>
      <c r="D809" s="277"/>
      <c r="E809" s="277"/>
      <c r="F809" s="276"/>
      <c r="G809" s="276"/>
      <c r="H809" s="276"/>
    </row>
    <row r="810">
      <c r="A810" s="276"/>
      <c r="B810" s="276"/>
      <c r="C810" s="276"/>
      <c r="D810" s="277"/>
      <c r="E810" s="277"/>
      <c r="F810" s="276"/>
      <c r="G810" s="276"/>
      <c r="H810" s="276"/>
    </row>
    <row r="811">
      <c r="A811" s="276"/>
      <c r="B811" s="276"/>
      <c r="C811" s="276"/>
      <c r="D811" s="277"/>
      <c r="E811" s="277"/>
      <c r="F811" s="276"/>
      <c r="G811" s="276"/>
      <c r="H811" s="276"/>
    </row>
    <row r="812">
      <c r="A812" s="276"/>
      <c r="B812" s="276"/>
      <c r="C812" s="276"/>
      <c r="D812" s="277"/>
      <c r="E812" s="277"/>
      <c r="F812" s="276"/>
      <c r="G812" s="276"/>
      <c r="H812" s="276"/>
    </row>
    <row r="813">
      <c r="A813" s="276"/>
      <c r="B813" s="276"/>
      <c r="C813" s="276"/>
      <c r="D813" s="277"/>
      <c r="E813" s="277"/>
      <c r="F813" s="276"/>
      <c r="G813" s="276"/>
      <c r="H813" s="276"/>
    </row>
    <row r="814">
      <c r="A814" s="276"/>
      <c r="B814" s="276"/>
      <c r="C814" s="276"/>
      <c r="D814" s="277"/>
      <c r="E814" s="277"/>
      <c r="F814" s="276"/>
      <c r="G814" s="276"/>
      <c r="H814" s="276"/>
    </row>
    <row r="815">
      <c r="A815" s="276"/>
      <c r="B815" s="276"/>
      <c r="C815" s="276"/>
      <c r="D815" s="277"/>
      <c r="E815" s="277"/>
      <c r="F815" s="276"/>
      <c r="G815" s="276"/>
      <c r="H815" s="276"/>
    </row>
    <row r="816">
      <c r="A816" s="276"/>
      <c r="B816" s="276"/>
      <c r="C816" s="276"/>
      <c r="D816" s="277"/>
      <c r="E816" s="277"/>
      <c r="F816" s="276"/>
      <c r="G816" s="276"/>
      <c r="H816" s="276"/>
    </row>
    <row r="817">
      <c r="A817" s="276"/>
      <c r="B817" s="276"/>
      <c r="C817" s="276"/>
      <c r="D817" s="277"/>
      <c r="E817" s="277"/>
      <c r="F817" s="276"/>
      <c r="G817" s="276"/>
      <c r="H817" s="276"/>
    </row>
    <row r="818">
      <c r="A818" s="276"/>
      <c r="B818" s="276"/>
      <c r="C818" s="276"/>
      <c r="D818" s="277"/>
      <c r="E818" s="277"/>
      <c r="F818" s="276"/>
      <c r="G818" s="276"/>
      <c r="H818" s="276"/>
    </row>
    <row r="819">
      <c r="A819" s="276"/>
      <c r="B819" s="276"/>
      <c r="C819" s="276"/>
      <c r="D819" s="277"/>
      <c r="E819" s="277"/>
      <c r="F819" s="276"/>
      <c r="G819" s="276"/>
      <c r="H819" s="276"/>
    </row>
    <row r="820">
      <c r="A820" s="276"/>
      <c r="B820" s="276"/>
      <c r="C820" s="276"/>
      <c r="D820" s="277"/>
      <c r="E820" s="277"/>
      <c r="F820" s="276"/>
      <c r="G820" s="276"/>
      <c r="H820" s="276"/>
    </row>
    <row r="821">
      <c r="A821" s="276"/>
      <c r="B821" s="276"/>
      <c r="C821" s="276"/>
      <c r="D821" s="277"/>
      <c r="E821" s="277"/>
      <c r="F821" s="276"/>
      <c r="G821" s="276"/>
      <c r="H821" s="276"/>
    </row>
    <row r="822">
      <c r="A822" s="276"/>
      <c r="B822" s="276"/>
      <c r="C822" s="276"/>
      <c r="D822" s="277"/>
      <c r="E822" s="277"/>
      <c r="F822" s="276"/>
      <c r="G822" s="276"/>
      <c r="H822" s="276"/>
    </row>
    <row r="823">
      <c r="A823" s="276"/>
      <c r="B823" s="276"/>
      <c r="C823" s="276"/>
      <c r="D823" s="277"/>
      <c r="E823" s="277"/>
      <c r="F823" s="276"/>
      <c r="G823" s="276"/>
      <c r="H823" s="276"/>
    </row>
    <row r="824">
      <c r="A824" s="276"/>
      <c r="B824" s="276"/>
      <c r="C824" s="276"/>
      <c r="D824" s="277"/>
      <c r="E824" s="277"/>
      <c r="F824" s="276"/>
      <c r="G824" s="276"/>
      <c r="H824" s="276"/>
    </row>
    <row r="825">
      <c r="A825" s="276"/>
      <c r="B825" s="276"/>
      <c r="C825" s="276"/>
      <c r="D825" s="277"/>
      <c r="E825" s="277"/>
      <c r="F825" s="276"/>
      <c r="G825" s="276"/>
      <c r="H825" s="276"/>
    </row>
    <row r="826">
      <c r="A826" s="276"/>
      <c r="B826" s="276"/>
      <c r="C826" s="276"/>
      <c r="D826" s="277"/>
      <c r="E826" s="277"/>
      <c r="F826" s="276"/>
      <c r="G826" s="276"/>
      <c r="H826" s="276"/>
    </row>
    <row r="827">
      <c r="A827" s="276"/>
      <c r="B827" s="276"/>
      <c r="C827" s="276"/>
      <c r="D827" s="277"/>
      <c r="E827" s="277"/>
      <c r="F827" s="276"/>
      <c r="G827" s="276"/>
      <c r="H827" s="276"/>
    </row>
    <row r="828">
      <c r="A828" s="276"/>
      <c r="B828" s="276"/>
      <c r="C828" s="276"/>
      <c r="D828" s="277"/>
      <c r="E828" s="277"/>
      <c r="F828" s="276"/>
      <c r="G828" s="276"/>
      <c r="H828" s="276"/>
    </row>
    <row r="829">
      <c r="A829" s="276"/>
      <c r="B829" s="276"/>
      <c r="C829" s="276"/>
      <c r="D829" s="277"/>
      <c r="E829" s="277"/>
      <c r="F829" s="276"/>
      <c r="G829" s="276"/>
      <c r="H829" s="276"/>
    </row>
    <row r="830">
      <c r="A830" s="276"/>
      <c r="B830" s="276"/>
      <c r="C830" s="276"/>
      <c r="D830" s="277"/>
      <c r="E830" s="277"/>
      <c r="F830" s="276"/>
      <c r="G830" s="276"/>
      <c r="H830" s="276"/>
    </row>
    <row r="831">
      <c r="A831" s="276"/>
      <c r="B831" s="276"/>
      <c r="C831" s="276"/>
      <c r="D831" s="277"/>
      <c r="E831" s="277"/>
      <c r="F831" s="276"/>
      <c r="G831" s="276"/>
      <c r="H831" s="276"/>
    </row>
    <row r="832">
      <c r="A832" s="276"/>
      <c r="B832" s="276"/>
      <c r="C832" s="276"/>
      <c r="D832" s="277"/>
      <c r="E832" s="277"/>
      <c r="F832" s="276"/>
      <c r="G832" s="276"/>
      <c r="H832" s="276"/>
    </row>
    <row r="833">
      <c r="A833" s="276"/>
      <c r="B833" s="276"/>
      <c r="C833" s="276"/>
      <c r="D833" s="277"/>
      <c r="E833" s="277"/>
      <c r="F833" s="276"/>
      <c r="G833" s="276"/>
      <c r="H833" s="276"/>
    </row>
    <row r="834">
      <c r="A834" s="276"/>
      <c r="B834" s="276"/>
      <c r="C834" s="276"/>
      <c r="D834" s="277"/>
      <c r="E834" s="277"/>
      <c r="F834" s="276"/>
      <c r="G834" s="276"/>
      <c r="H834" s="276"/>
    </row>
    <row r="835">
      <c r="A835" s="276"/>
      <c r="B835" s="276"/>
      <c r="C835" s="276"/>
      <c r="D835" s="277"/>
      <c r="E835" s="277"/>
      <c r="F835" s="276"/>
      <c r="G835" s="276"/>
      <c r="H835" s="276"/>
    </row>
    <row r="836">
      <c r="A836" s="276"/>
      <c r="B836" s="276"/>
      <c r="C836" s="276"/>
      <c r="D836" s="277"/>
      <c r="E836" s="277"/>
      <c r="F836" s="276"/>
      <c r="G836" s="276"/>
      <c r="H836" s="276"/>
    </row>
    <row r="837">
      <c r="A837" s="276"/>
      <c r="B837" s="276"/>
      <c r="C837" s="276"/>
      <c r="D837" s="277"/>
      <c r="E837" s="277"/>
      <c r="F837" s="276"/>
      <c r="G837" s="276"/>
      <c r="H837" s="276"/>
    </row>
    <row r="838">
      <c r="A838" s="276"/>
      <c r="B838" s="276"/>
      <c r="C838" s="276"/>
      <c r="D838" s="277"/>
      <c r="E838" s="277"/>
      <c r="F838" s="276"/>
      <c r="G838" s="276"/>
      <c r="H838" s="276"/>
    </row>
    <row r="839">
      <c r="A839" s="276"/>
      <c r="B839" s="276"/>
      <c r="C839" s="276"/>
      <c r="D839" s="277"/>
      <c r="E839" s="277"/>
      <c r="F839" s="276"/>
      <c r="G839" s="276"/>
      <c r="H839" s="276"/>
    </row>
    <row r="840">
      <c r="A840" s="276"/>
      <c r="B840" s="276"/>
      <c r="C840" s="276"/>
      <c r="D840" s="277"/>
      <c r="E840" s="277"/>
      <c r="F840" s="276"/>
      <c r="G840" s="276"/>
      <c r="H840" s="276"/>
    </row>
    <row r="841">
      <c r="A841" s="276"/>
      <c r="B841" s="276"/>
      <c r="C841" s="276"/>
      <c r="D841" s="277"/>
      <c r="E841" s="277"/>
      <c r="F841" s="276"/>
      <c r="G841" s="276"/>
      <c r="H841" s="276"/>
    </row>
    <row r="842">
      <c r="A842" s="276"/>
      <c r="B842" s="276"/>
      <c r="C842" s="276"/>
      <c r="D842" s="277"/>
      <c r="E842" s="277"/>
      <c r="F842" s="276"/>
      <c r="G842" s="276"/>
      <c r="H842" s="276"/>
    </row>
    <row r="843">
      <c r="A843" s="276"/>
      <c r="B843" s="276"/>
      <c r="C843" s="276"/>
      <c r="D843" s="277"/>
      <c r="E843" s="277"/>
      <c r="F843" s="276"/>
      <c r="G843" s="276"/>
      <c r="H843" s="276"/>
    </row>
    <row r="844">
      <c r="A844" s="276"/>
      <c r="B844" s="276"/>
      <c r="C844" s="276"/>
      <c r="D844" s="277"/>
      <c r="E844" s="277"/>
      <c r="F844" s="276"/>
      <c r="G844" s="276"/>
      <c r="H844" s="276"/>
    </row>
    <row r="845">
      <c r="A845" s="276"/>
      <c r="B845" s="276"/>
      <c r="C845" s="276"/>
      <c r="D845" s="277"/>
      <c r="E845" s="277"/>
      <c r="F845" s="276"/>
      <c r="G845" s="276"/>
      <c r="H845" s="276"/>
    </row>
    <row r="846">
      <c r="A846" s="276"/>
      <c r="B846" s="276"/>
      <c r="C846" s="276"/>
      <c r="D846" s="277"/>
      <c r="E846" s="277"/>
      <c r="F846" s="276"/>
      <c r="G846" s="276"/>
      <c r="H846" s="276"/>
    </row>
    <row r="847">
      <c r="A847" s="276"/>
      <c r="B847" s="276"/>
      <c r="C847" s="276"/>
      <c r="D847" s="277"/>
      <c r="E847" s="277"/>
      <c r="F847" s="276"/>
      <c r="G847" s="276"/>
      <c r="H847" s="276"/>
    </row>
    <row r="848">
      <c r="A848" s="276"/>
      <c r="B848" s="276"/>
      <c r="C848" s="276"/>
      <c r="D848" s="277"/>
      <c r="E848" s="277"/>
      <c r="F848" s="276"/>
      <c r="G848" s="276"/>
      <c r="H848" s="276"/>
    </row>
    <row r="849">
      <c r="A849" s="276"/>
      <c r="B849" s="276"/>
      <c r="C849" s="276"/>
      <c r="D849" s="277"/>
      <c r="E849" s="277"/>
      <c r="F849" s="276"/>
      <c r="G849" s="276"/>
      <c r="H849" s="276"/>
    </row>
    <row r="850">
      <c r="A850" s="276"/>
      <c r="B850" s="276"/>
      <c r="C850" s="276"/>
      <c r="D850" s="277"/>
      <c r="E850" s="277"/>
      <c r="F850" s="276"/>
      <c r="G850" s="276"/>
      <c r="H850" s="276"/>
    </row>
    <row r="851">
      <c r="A851" s="276"/>
      <c r="B851" s="276"/>
      <c r="C851" s="276"/>
      <c r="D851" s="277"/>
      <c r="E851" s="277"/>
      <c r="F851" s="276"/>
      <c r="G851" s="276"/>
      <c r="H851" s="276"/>
    </row>
    <row r="852">
      <c r="A852" s="276"/>
      <c r="B852" s="276"/>
      <c r="C852" s="276"/>
      <c r="D852" s="277"/>
      <c r="E852" s="277"/>
      <c r="F852" s="276"/>
      <c r="G852" s="276"/>
      <c r="H852" s="276"/>
    </row>
    <row r="853">
      <c r="A853" s="276"/>
      <c r="B853" s="276"/>
      <c r="C853" s="276"/>
      <c r="D853" s="277"/>
      <c r="E853" s="277"/>
      <c r="F853" s="276"/>
      <c r="G853" s="276"/>
      <c r="H853" s="276"/>
    </row>
    <row r="854">
      <c r="A854" s="276"/>
      <c r="B854" s="276"/>
      <c r="C854" s="276"/>
      <c r="D854" s="277"/>
      <c r="E854" s="277"/>
      <c r="F854" s="276"/>
      <c r="G854" s="276"/>
      <c r="H854" s="276"/>
    </row>
    <row r="855">
      <c r="A855" s="276"/>
      <c r="B855" s="276"/>
      <c r="C855" s="276"/>
      <c r="D855" s="277"/>
      <c r="E855" s="277"/>
      <c r="F855" s="276"/>
      <c r="G855" s="276"/>
      <c r="H855" s="276"/>
    </row>
    <row r="856">
      <c r="A856" s="276"/>
      <c r="B856" s="276"/>
      <c r="C856" s="276"/>
      <c r="D856" s="277"/>
      <c r="E856" s="277"/>
      <c r="F856" s="276"/>
      <c r="G856" s="276"/>
      <c r="H856" s="276"/>
    </row>
    <row r="857">
      <c r="A857" s="276"/>
      <c r="B857" s="276"/>
      <c r="C857" s="276"/>
      <c r="D857" s="277"/>
      <c r="E857" s="277"/>
      <c r="F857" s="276"/>
      <c r="G857" s="276"/>
      <c r="H857" s="276"/>
    </row>
    <row r="858">
      <c r="A858" s="276"/>
      <c r="B858" s="276"/>
      <c r="C858" s="276"/>
      <c r="D858" s="277"/>
      <c r="E858" s="277"/>
      <c r="F858" s="276"/>
      <c r="G858" s="276"/>
      <c r="H858" s="276"/>
    </row>
    <row r="859">
      <c r="A859" s="276"/>
      <c r="B859" s="276"/>
      <c r="C859" s="276"/>
      <c r="D859" s="277"/>
      <c r="E859" s="277"/>
      <c r="F859" s="276"/>
      <c r="G859" s="276"/>
      <c r="H859" s="276"/>
    </row>
    <row r="860">
      <c r="A860" s="276"/>
      <c r="B860" s="276"/>
      <c r="C860" s="276"/>
      <c r="D860" s="277"/>
      <c r="E860" s="277"/>
      <c r="F860" s="276"/>
      <c r="G860" s="276"/>
      <c r="H860" s="276"/>
    </row>
    <row r="861">
      <c r="A861" s="276"/>
      <c r="B861" s="276"/>
      <c r="C861" s="276"/>
      <c r="D861" s="277"/>
      <c r="E861" s="277"/>
      <c r="F861" s="276"/>
      <c r="G861" s="276"/>
      <c r="H861" s="276"/>
    </row>
    <row r="862">
      <c r="A862" s="276"/>
      <c r="B862" s="276"/>
      <c r="C862" s="276"/>
      <c r="D862" s="277"/>
      <c r="E862" s="277"/>
      <c r="F862" s="276"/>
      <c r="G862" s="276"/>
      <c r="H862" s="276"/>
    </row>
    <row r="863">
      <c r="A863" s="276"/>
      <c r="B863" s="276"/>
      <c r="C863" s="276"/>
      <c r="D863" s="277"/>
      <c r="E863" s="277"/>
      <c r="F863" s="276"/>
      <c r="G863" s="276"/>
      <c r="H863" s="276"/>
    </row>
    <row r="864">
      <c r="A864" s="276"/>
      <c r="B864" s="276"/>
      <c r="C864" s="276"/>
      <c r="D864" s="277"/>
      <c r="E864" s="277"/>
      <c r="F864" s="276"/>
      <c r="G864" s="276"/>
      <c r="H864" s="276"/>
    </row>
    <row r="865">
      <c r="A865" s="276"/>
      <c r="B865" s="276"/>
      <c r="C865" s="276"/>
      <c r="D865" s="277"/>
      <c r="E865" s="277"/>
      <c r="F865" s="276"/>
      <c r="G865" s="276"/>
      <c r="H865" s="276"/>
    </row>
    <row r="866">
      <c r="A866" s="276"/>
      <c r="B866" s="276"/>
      <c r="C866" s="276"/>
      <c r="D866" s="277"/>
      <c r="E866" s="277"/>
      <c r="F866" s="276"/>
      <c r="G866" s="276"/>
      <c r="H866" s="276"/>
    </row>
    <row r="867">
      <c r="A867" s="276"/>
      <c r="B867" s="276"/>
      <c r="C867" s="276"/>
      <c r="D867" s="277"/>
      <c r="E867" s="277"/>
      <c r="F867" s="276"/>
      <c r="G867" s="276"/>
      <c r="H867" s="276"/>
    </row>
    <row r="868">
      <c r="A868" s="276"/>
      <c r="B868" s="276"/>
      <c r="C868" s="276"/>
      <c r="D868" s="277"/>
      <c r="E868" s="277"/>
      <c r="F868" s="276"/>
      <c r="G868" s="276"/>
      <c r="H868" s="276"/>
    </row>
    <row r="869">
      <c r="A869" s="276"/>
      <c r="B869" s="276"/>
      <c r="C869" s="276"/>
      <c r="D869" s="277"/>
      <c r="E869" s="277"/>
      <c r="F869" s="276"/>
      <c r="G869" s="276"/>
      <c r="H869" s="276"/>
    </row>
    <row r="870">
      <c r="A870" s="276"/>
      <c r="B870" s="276"/>
      <c r="C870" s="276"/>
      <c r="D870" s="277"/>
      <c r="E870" s="277"/>
      <c r="F870" s="276"/>
      <c r="G870" s="276"/>
      <c r="H870" s="276"/>
    </row>
    <row r="871">
      <c r="A871" s="276"/>
      <c r="B871" s="276"/>
      <c r="C871" s="276"/>
      <c r="D871" s="277"/>
      <c r="E871" s="277"/>
      <c r="F871" s="276"/>
      <c r="G871" s="276"/>
      <c r="H871" s="276"/>
    </row>
    <row r="872">
      <c r="A872" s="276"/>
      <c r="B872" s="276"/>
      <c r="C872" s="276"/>
      <c r="D872" s="277"/>
      <c r="E872" s="277"/>
      <c r="F872" s="276"/>
      <c r="G872" s="276"/>
      <c r="H872" s="276"/>
    </row>
    <row r="873">
      <c r="A873" s="276"/>
      <c r="B873" s="276"/>
      <c r="C873" s="276"/>
      <c r="D873" s="277"/>
      <c r="E873" s="277"/>
      <c r="F873" s="276"/>
      <c r="G873" s="276"/>
      <c r="H873" s="276"/>
    </row>
    <row r="874">
      <c r="A874" s="276"/>
      <c r="B874" s="276"/>
      <c r="C874" s="276"/>
      <c r="D874" s="277"/>
      <c r="E874" s="277"/>
      <c r="F874" s="276"/>
      <c r="G874" s="276"/>
      <c r="H874" s="276"/>
    </row>
    <row r="875">
      <c r="A875" s="276"/>
      <c r="B875" s="276"/>
      <c r="C875" s="276"/>
      <c r="D875" s="277"/>
      <c r="E875" s="277"/>
      <c r="F875" s="276"/>
      <c r="G875" s="276"/>
      <c r="H875" s="276"/>
    </row>
    <row r="876">
      <c r="A876" s="276"/>
      <c r="B876" s="276"/>
      <c r="C876" s="276"/>
      <c r="D876" s="277"/>
      <c r="E876" s="277"/>
      <c r="F876" s="276"/>
      <c r="G876" s="276"/>
      <c r="H876" s="276"/>
    </row>
    <row r="877">
      <c r="A877" s="276"/>
      <c r="B877" s="276"/>
      <c r="C877" s="276"/>
      <c r="D877" s="277"/>
      <c r="E877" s="277"/>
      <c r="F877" s="276"/>
      <c r="G877" s="276"/>
      <c r="H877" s="276"/>
    </row>
    <row r="878">
      <c r="A878" s="276"/>
      <c r="B878" s="276"/>
      <c r="C878" s="276"/>
      <c r="D878" s="277"/>
      <c r="E878" s="277"/>
      <c r="F878" s="276"/>
      <c r="G878" s="276"/>
      <c r="H878" s="276"/>
    </row>
    <row r="879">
      <c r="A879" s="276"/>
      <c r="B879" s="276"/>
      <c r="C879" s="276"/>
      <c r="D879" s="277"/>
      <c r="E879" s="277"/>
      <c r="F879" s="276"/>
      <c r="G879" s="276"/>
      <c r="H879" s="276"/>
    </row>
    <row r="880">
      <c r="A880" s="276"/>
      <c r="B880" s="276"/>
      <c r="C880" s="276"/>
      <c r="D880" s="277"/>
      <c r="E880" s="277"/>
      <c r="F880" s="276"/>
      <c r="G880" s="276"/>
      <c r="H880" s="276"/>
    </row>
    <row r="881">
      <c r="A881" s="276"/>
      <c r="B881" s="276"/>
      <c r="C881" s="276"/>
      <c r="D881" s="277"/>
      <c r="E881" s="277"/>
      <c r="F881" s="276"/>
      <c r="G881" s="276"/>
      <c r="H881" s="276"/>
    </row>
    <row r="882">
      <c r="A882" s="276"/>
      <c r="B882" s="276"/>
      <c r="C882" s="276"/>
      <c r="D882" s="277"/>
      <c r="E882" s="277"/>
      <c r="F882" s="276"/>
      <c r="G882" s="276"/>
      <c r="H882" s="276"/>
    </row>
    <row r="883">
      <c r="A883" s="276"/>
      <c r="B883" s="276"/>
      <c r="C883" s="276"/>
      <c r="D883" s="277"/>
      <c r="E883" s="277"/>
      <c r="F883" s="276"/>
      <c r="G883" s="276"/>
      <c r="H883" s="276"/>
    </row>
    <row r="884">
      <c r="A884" s="276"/>
      <c r="B884" s="276"/>
      <c r="C884" s="276"/>
      <c r="D884" s="277"/>
      <c r="E884" s="277"/>
      <c r="F884" s="276"/>
      <c r="G884" s="276"/>
      <c r="H884" s="276"/>
    </row>
    <row r="885">
      <c r="A885" s="276"/>
      <c r="B885" s="276"/>
      <c r="C885" s="276"/>
      <c r="D885" s="277"/>
      <c r="E885" s="277"/>
      <c r="F885" s="276"/>
      <c r="G885" s="276"/>
      <c r="H885" s="276"/>
    </row>
    <row r="886">
      <c r="A886" s="276"/>
      <c r="B886" s="276"/>
      <c r="C886" s="276"/>
      <c r="D886" s="277"/>
      <c r="E886" s="277"/>
      <c r="F886" s="276"/>
      <c r="G886" s="276"/>
      <c r="H886" s="276"/>
    </row>
    <row r="887">
      <c r="A887" s="276"/>
      <c r="B887" s="276"/>
      <c r="C887" s="276"/>
      <c r="D887" s="277"/>
      <c r="E887" s="277"/>
      <c r="F887" s="276"/>
      <c r="G887" s="276"/>
      <c r="H887" s="276"/>
    </row>
    <row r="888">
      <c r="A888" s="276"/>
      <c r="B888" s="276"/>
      <c r="C888" s="276"/>
      <c r="D888" s="277"/>
      <c r="E888" s="277"/>
      <c r="F888" s="276"/>
      <c r="G888" s="276"/>
      <c r="H888" s="276"/>
    </row>
    <row r="889">
      <c r="A889" s="276"/>
      <c r="B889" s="276"/>
      <c r="C889" s="276"/>
      <c r="D889" s="277"/>
      <c r="E889" s="277"/>
      <c r="F889" s="276"/>
      <c r="G889" s="276"/>
      <c r="H889" s="276"/>
    </row>
    <row r="890">
      <c r="A890" s="276"/>
      <c r="B890" s="276"/>
      <c r="C890" s="276"/>
      <c r="D890" s="277"/>
      <c r="E890" s="277"/>
      <c r="F890" s="276"/>
      <c r="G890" s="276"/>
      <c r="H890" s="276"/>
    </row>
    <row r="891">
      <c r="A891" s="276"/>
      <c r="B891" s="276"/>
      <c r="C891" s="276"/>
      <c r="D891" s="277"/>
      <c r="E891" s="277"/>
      <c r="F891" s="276"/>
      <c r="G891" s="276"/>
      <c r="H891" s="276"/>
    </row>
    <row r="892">
      <c r="A892" s="276"/>
      <c r="B892" s="276"/>
      <c r="C892" s="276"/>
      <c r="D892" s="277"/>
      <c r="E892" s="277"/>
      <c r="F892" s="276"/>
      <c r="G892" s="276"/>
      <c r="H892" s="276"/>
    </row>
    <row r="893">
      <c r="A893" s="276"/>
      <c r="B893" s="276"/>
      <c r="C893" s="276"/>
      <c r="D893" s="277"/>
      <c r="E893" s="277"/>
      <c r="F893" s="276"/>
      <c r="G893" s="276"/>
      <c r="H893" s="276"/>
    </row>
    <row r="894">
      <c r="A894" s="276"/>
      <c r="B894" s="276"/>
      <c r="C894" s="276"/>
      <c r="D894" s="277"/>
      <c r="E894" s="277"/>
      <c r="F894" s="276"/>
      <c r="G894" s="276"/>
      <c r="H894" s="276"/>
    </row>
    <row r="895">
      <c r="A895" s="276"/>
      <c r="B895" s="276"/>
      <c r="C895" s="276"/>
      <c r="D895" s="277"/>
      <c r="E895" s="277"/>
      <c r="F895" s="276"/>
      <c r="G895" s="276"/>
      <c r="H895" s="276"/>
    </row>
    <row r="896">
      <c r="A896" s="276"/>
      <c r="B896" s="276"/>
      <c r="C896" s="276"/>
      <c r="D896" s="277"/>
      <c r="E896" s="277"/>
      <c r="F896" s="276"/>
      <c r="G896" s="276"/>
      <c r="H896" s="276"/>
    </row>
    <row r="897">
      <c r="A897" s="276"/>
      <c r="B897" s="276"/>
      <c r="C897" s="276"/>
      <c r="D897" s="277"/>
      <c r="E897" s="277"/>
      <c r="F897" s="276"/>
      <c r="G897" s="276"/>
      <c r="H897" s="276"/>
    </row>
    <row r="898">
      <c r="A898" s="276"/>
      <c r="B898" s="276"/>
      <c r="C898" s="276"/>
      <c r="D898" s="277"/>
      <c r="E898" s="277"/>
      <c r="F898" s="276"/>
      <c r="G898" s="276"/>
      <c r="H898" s="276"/>
    </row>
    <row r="899">
      <c r="A899" s="276"/>
      <c r="B899" s="276"/>
      <c r="C899" s="276"/>
      <c r="D899" s="277"/>
      <c r="E899" s="277"/>
      <c r="F899" s="276"/>
      <c r="G899" s="276"/>
      <c r="H899" s="276"/>
    </row>
    <row r="900">
      <c r="A900" s="276"/>
      <c r="B900" s="276"/>
      <c r="C900" s="276"/>
      <c r="D900" s="277"/>
      <c r="E900" s="277"/>
      <c r="F900" s="276"/>
      <c r="G900" s="276"/>
      <c r="H900" s="276"/>
    </row>
    <row r="901">
      <c r="A901" s="276"/>
      <c r="B901" s="276"/>
      <c r="C901" s="276"/>
      <c r="D901" s="277"/>
      <c r="E901" s="277"/>
      <c r="F901" s="276"/>
      <c r="G901" s="276"/>
      <c r="H901" s="276"/>
    </row>
    <row r="902">
      <c r="A902" s="276"/>
      <c r="B902" s="276"/>
      <c r="C902" s="276"/>
      <c r="D902" s="277"/>
      <c r="E902" s="277"/>
      <c r="F902" s="276"/>
      <c r="G902" s="276"/>
      <c r="H902" s="276"/>
    </row>
    <row r="903">
      <c r="A903" s="276"/>
      <c r="B903" s="276"/>
      <c r="C903" s="276"/>
      <c r="D903" s="277"/>
      <c r="E903" s="277"/>
      <c r="F903" s="276"/>
      <c r="G903" s="276"/>
      <c r="H903" s="276"/>
    </row>
    <row r="904">
      <c r="A904" s="276"/>
      <c r="B904" s="276"/>
      <c r="C904" s="276"/>
      <c r="D904" s="277"/>
      <c r="E904" s="277"/>
      <c r="F904" s="276"/>
      <c r="G904" s="276"/>
      <c r="H904" s="276"/>
    </row>
    <row r="905">
      <c r="A905" s="276"/>
      <c r="B905" s="276"/>
      <c r="C905" s="276"/>
      <c r="D905" s="277"/>
      <c r="E905" s="277"/>
      <c r="F905" s="276"/>
      <c r="G905" s="276"/>
      <c r="H905" s="276"/>
    </row>
    <row r="906">
      <c r="A906" s="276"/>
      <c r="B906" s="276"/>
      <c r="C906" s="276"/>
      <c r="D906" s="277"/>
      <c r="E906" s="277"/>
      <c r="F906" s="276"/>
      <c r="G906" s="276"/>
      <c r="H906" s="276"/>
    </row>
    <row r="907">
      <c r="A907" s="276"/>
      <c r="B907" s="276"/>
      <c r="C907" s="276"/>
      <c r="D907" s="277"/>
      <c r="E907" s="277"/>
      <c r="F907" s="276"/>
      <c r="G907" s="276"/>
      <c r="H907" s="276"/>
    </row>
    <row r="908">
      <c r="A908" s="276"/>
      <c r="B908" s="276"/>
      <c r="C908" s="276"/>
      <c r="D908" s="277"/>
      <c r="E908" s="277"/>
      <c r="F908" s="276"/>
      <c r="G908" s="276"/>
      <c r="H908" s="276"/>
    </row>
    <row r="909">
      <c r="A909" s="276"/>
      <c r="B909" s="276"/>
      <c r="C909" s="276"/>
      <c r="D909" s="277"/>
      <c r="E909" s="277"/>
      <c r="F909" s="276"/>
      <c r="G909" s="276"/>
      <c r="H909" s="276"/>
    </row>
    <row r="910">
      <c r="A910" s="276"/>
      <c r="B910" s="276"/>
      <c r="C910" s="276"/>
      <c r="D910" s="277"/>
      <c r="E910" s="277"/>
      <c r="F910" s="276"/>
      <c r="G910" s="276"/>
      <c r="H910" s="276"/>
    </row>
    <row r="911">
      <c r="A911" s="276"/>
      <c r="B911" s="276"/>
      <c r="C911" s="276"/>
      <c r="D911" s="277"/>
      <c r="E911" s="277"/>
      <c r="F911" s="276"/>
      <c r="G911" s="276"/>
      <c r="H911" s="276"/>
    </row>
    <row r="912">
      <c r="A912" s="276"/>
      <c r="B912" s="276"/>
      <c r="C912" s="276"/>
      <c r="D912" s="277"/>
      <c r="E912" s="277"/>
      <c r="F912" s="276"/>
      <c r="G912" s="276"/>
      <c r="H912" s="276"/>
    </row>
    <row r="913">
      <c r="A913" s="276"/>
      <c r="B913" s="276"/>
      <c r="C913" s="276"/>
      <c r="D913" s="277"/>
      <c r="E913" s="277"/>
      <c r="F913" s="276"/>
      <c r="G913" s="276"/>
      <c r="H913" s="276"/>
    </row>
    <row r="914">
      <c r="A914" s="276"/>
      <c r="B914" s="276"/>
      <c r="C914" s="276"/>
      <c r="D914" s="277"/>
      <c r="E914" s="277"/>
      <c r="F914" s="276"/>
      <c r="G914" s="276"/>
      <c r="H914" s="276"/>
    </row>
    <row r="915">
      <c r="A915" s="276"/>
      <c r="B915" s="276"/>
      <c r="C915" s="276"/>
      <c r="D915" s="277"/>
      <c r="E915" s="277"/>
      <c r="F915" s="276"/>
      <c r="G915" s="276"/>
      <c r="H915" s="276"/>
    </row>
    <row r="916">
      <c r="A916" s="276"/>
      <c r="B916" s="276"/>
      <c r="C916" s="276"/>
      <c r="D916" s="277"/>
      <c r="E916" s="277"/>
      <c r="F916" s="276"/>
      <c r="G916" s="276"/>
      <c r="H916" s="276"/>
    </row>
    <row r="917">
      <c r="A917" s="276"/>
      <c r="B917" s="276"/>
      <c r="C917" s="276"/>
      <c r="D917" s="277"/>
      <c r="E917" s="277"/>
      <c r="F917" s="276"/>
      <c r="G917" s="276"/>
      <c r="H917" s="276"/>
    </row>
    <row r="918">
      <c r="A918" s="276"/>
      <c r="B918" s="276"/>
      <c r="C918" s="276"/>
      <c r="D918" s="277"/>
      <c r="E918" s="277"/>
      <c r="F918" s="276"/>
      <c r="G918" s="276"/>
      <c r="H918" s="276"/>
    </row>
    <row r="919">
      <c r="A919" s="276"/>
      <c r="B919" s="276"/>
      <c r="C919" s="276"/>
      <c r="D919" s="277"/>
      <c r="E919" s="277"/>
      <c r="F919" s="276"/>
      <c r="G919" s="276"/>
      <c r="H919" s="276"/>
    </row>
    <row r="920">
      <c r="A920" s="276"/>
      <c r="B920" s="276"/>
      <c r="C920" s="276"/>
      <c r="D920" s="277"/>
      <c r="E920" s="277"/>
      <c r="F920" s="276"/>
      <c r="G920" s="276"/>
      <c r="H920" s="276"/>
    </row>
    <row r="921">
      <c r="A921" s="276"/>
      <c r="B921" s="276"/>
      <c r="C921" s="276"/>
      <c r="D921" s="277"/>
      <c r="E921" s="277"/>
      <c r="F921" s="276"/>
      <c r="G921" s="276"/>
      <c r="H921" s="276"/>
    </row>
    <row r="922">
      <c r="A922" s="276"/>
      <c r="B922" s="276"/>
      <c r="C922" s="276"/>
      <c r="D922" s="277"/>
      <c r="E922" s="277"/>
      <c r="F922" s="276"/>
      <c r="G922" s="276"/>
      <c r="H922" s="276"/>
    </row>
    <row r="923">
      <c r="A923" s="276"/>
      <c r="B923" s="276"/>
      <c r="C923" s="276"/>
      <c r="D923" s="277"/>
      <c r="E923" s="277"/>
      <c r="F923" s="276"/>
      <c r="G923" s="276"/>
      <c r="H923" s="276"/>
    </row>
    <row r="924">
      <c r="A924" s="276"/>
      <c r="B924" s="276"/>
      <c r="C924" s="276"/>
      <c r="D924" s="277"/>
      <c r="E924" s="277"/>
      <c r="F924" s="276"/>
      <c r="G924" s="276"/>
      <c r="H924" s="276"/>
    </row>
    <row r="925">
      <c r="A925" s="276"/>
      <c r="B925" s="276"/>
      <c r="C925" s="276"/>
      <c r="D925" s="277"/>
      <c r="E925" s="277"/>
      <c r="F925" s="276"/>
      <c r="G925" s="276"/>
      <c r="H925" s="276"/>
    </row>
    <row r="926">
      <c r="A926" s="276"/>
      <c r="B926" s="276"/>
      <c r="C926" s="276"/>
      <c r="D926" s="277"/>
      <c r="E926" s="277"/>
      <c r="F926" s="276"/>
      <c r="G926" s="276"/>
      <c r="H926" s="276"/>
    </row>
    <row r="927">
      <c r="A927" s="276"/>
      <c r="B927" s="276"/>
      <c r="C927" s="276"/>
      <c r="D927" s="277"/>
      <c r="E927" s="277"/>
      <c r="F927" s="276"/>
      <c r="G927" s="276"/>
      <c r="H927" s="276"/>
    </row>
    <row r="928">
      <c r="A928" s="276"/>
      <c r="B928" s="276"/>
      <c r="C928" s="276"/>
      <c r="D928" s="277"/>
      <c r="E928" s="277"/>
      <c r="F928" s="276"/>
      <c r="G928" s="276"/>
      <c r="H928" s="276"/>
    </row>
    <row r="929">
      <c r="A929" s="276"/>
      <c r="B929" s="276"/>
      <c r="C929" s="276"/>
      <c r="D929" s="277"/>
      <c r="E929" s="277"/>
      <c r="F929" s="276"/>
      <c r="G929" s="276"/>
      <c r="H929" s="276"/>
    </row>
    <row r="930">
      <c r="A930" s="276"/>
      <c r="B930" s="276"/>
      <c r="C930" s="276"/>
      <c r="D930" s="277"/>
      <c r="E930" s="277"/>
      <c r="F930" s="276"/>
      <c r="G930" s="276"/>
      <c r="H930" s="276"/>
    </row>
    <row r="931">
      <c r="A931" s="276"/>
      <c r="B931" s="276"/>
      <c r="C931" s="276"/>
      <c r="D931" s="277"/>
      <c r="E931" s="277"/>
      <c r="F931" s="276"/>
      <c r="G931" s="276"/>
      <c r="H931" s="276"/>
    </row>
    <row r="932">
      <c r="A932" s="276"/>
      <c r="B932" s="276"/>
      <c r="C932" s="276"/>
      <c r="D932" s="277"/>
      <c r="E932" s="277"/>
      <c r="F932" s="276"/>
      <c r="G932" s="276"/>
      <c r="H932" s="276"/>
    </row>
    <row r="933">
      <c r="A933" s="276"/>
      <c r="B933" s="276"/>
      <c r="C933" s="276"/>
      <c r="D933" s="277"/>
      <c r="E933" s="277"/>
      <c r="F933" s="276"/>
      <c r="G933" s="276"/>
      <c r="H933" s="276"/>
    </row>
    <row r="934">
      <c r="A934" s="276"/>
      <c r="B934" s="276"/>
      <c r="C934" s="276"/>
      <c r="D934" s="277"/>
      <c r="E934" s="277"/>
      <c r="F934" s="276"/>
      <c r="G934" s="276"/>
      <c r="H934" s="276"/>
    </row>
    <row r="935">
      <c r="A935" s="276"/>
      <c r="B935" s="276"/>
      <c r="C935" s="276"/>
      <c r="D935" s="277"/>
      <c r="E935" s="277"/>
      <c r="F935" s="276"/>
      <c r="G935" s="276"/>
      <c r="H935" s="276"/>
    </row>
    <row r="936">
      <c r="A936" s="276"/>
      <c r="B936" s="276"/>
      <c r="C936" s="276"/>
      <c r="D936" s="277"/>
      <c r="E936" s="277"/>
      <c r="F936" s="276"/>
      <c r="G936" s="276"/>
      <c r="H936" s="276"/>
    </row>
    <row r="937">
      <c r="A937" s="276"/>
      <c r="B937" s="276"/>
      <c r="C937" s="276"/>
      <c r="D937" s="277"/>
      <c r="E937" s="277"/>
      <c r="F937" s="276"/>
      <c r="G937" s="276"/>
      <c r="H937" s="276"/>
    </row>
    <row r="938">
      <c r="A938" s="276"/>
      <c r="B938" s="276"/>
      <c r="C938" s="276"/>
      <c r="D938" s="277"/>
      <c r="E938" s="277"/>
      <c r="F938" s="276"/>
      <c r="G938" s="276"/>
      <c r="H938" s="276"/>
    </row>
    <row r="939">
      <c r="A939" s="276"/>
      <c r="B939" s="276"/>
      <c r="C939" s="276"/>
      <c r="D939" s="277"/>
      <c r="E939" s="277"/>
      <c r="F939" s="276"/>
      <c r="G939" s="276"/>
      <c r="H939" s="276"/>
    </row>
    <row r="940">
      <c r="A940" s="276"/>
      <c r="B940" s="276"/>
      <c r="C940" s="276"/>
      <c r="D940" s="277"/>
      <c r="E940" s="277"/>
      <c r="F940" s="276"/>
      <c r="G940" s="276"/>
      <c r="H940" s="276"/>
    </row>
    <row r="941">
      <c r="A941" s="276"/>
      <c r="B941" s="276"/>
      <c r="C941" s="276"/>
      <c r="D941" s="277"/>
      <c r="E941" s="277"/>
      <c r="F941" s="276"/>
      <c r="G941" s="276"/>
      <c r="H941" s="276"/>
    </row>
    <row r="942">
      <c r="A942" s="276"/>
      <c r="B942" s="276"/>
      <c r="C942" s="276"/>
      <c r="D942" s="277"/>
      <c r="E942" s="277"/>
      <c r="F942" s="276"/>
      <c r="G942" s="276"/>
      <c r="H942" s="276"/>
    </row>
    <row r="943">
      <c r="A943" s="276"/>
      <c r="B943" s="276"/>
      <c r="C943" s="276"/>
      <c r="D943" s="277"/>
      <c r="E943" s="277"/>
      <c r="F943" s="276"/>
      <c r="G943" s="276"/>
      <c r="H943" s="276"/>
    </row>
    <row r="944">
      <c r="A944" s="276"/>
      <c r="B944" s="276"/>
      <c r="C944" s="276"/>
      <c r="D944" s="277"/>
      <c r="E944" s="277"/>
      <c r="F944" s="276"/>
      <c r="G944" s="276"/>
      <c r="H944" s="276"/>
    </row>
    <row r="945">
      <c r="A945" s="276"/>
      <c r="B945" s="276"/>
      <c r="C945" s="276"/>
      <c r="D945" s="277"/>
      <c r="E945" s="277"/>
      <c r="F945" s="276"/>
      <c r="G945" s="276"/>
      <c r="H945" s="276"/>
    </row>
    <row r="946">
      <c r="A946" s="276"/>
      <c r="B946" s="276"/>
      <c r="C946" s="276"/>
      <c r="D946" s="277"/>
      <c r="E946" s="277"/>
      <c r="F946" s="276"/>
      <c r="G946" s="276"/>
      <c r="H946" s="276"/>
    </row>
    <row r="947">
      <c r="A947" s="276"/>
      <c r="B947" s="276"/>
      <c r="C947" s="276"/>
      <c r="D947" s="277"/>
      <c r="E947" s="277"/>
      <c r="F947" s="276"/>
      <c r="G947" s="276"/>
      <c r="H947" s="276"/>
    </row>
    <row r="948">
      <c r="A948" s="276"/>
      <c r="B948" s="276"/>
      <c r="C948" s="276"/>
      <c r="D948" s="277"/>
      <c r="E948" s="277"/>
      <c r="F948" s="276"/>
      <c r="G948" s="276"/>
      <c r="H948" s="276"/>
    </row>
    <row r="949">
      <c r="A949" s="276"/>
      <c r="B949" s="276"/>
      <c r="C949" s="276"/>
      <c r="D949" s="277"/>
      <c r="E949" s="277"/>
      <c r="F949" s="276"/>
      <c r="G949" s="276"/>
      <c r="H949" s="276"/>
    </row>
    <row r="950">
      <c r="A950" s="276"/>
      <c r="B950" s="276"/>
      <c r="C950" s="276"/>
      <c r="D950" s="277"/>
      <c r="E950" s="277"/>
      <c r="F950" s="276"/>
      <c r="G950" s="276"/>
      <c r="H950" s="276"/>
    </row>
    <row r="951">
      <c r="A951" s="276"/>
      <c r="B951" s="276"/>
      <c r="C951" s="276"/>
      <c r="D951" s="277"/>
      <c r="E951" s="277"/>
      <c r="F951" s="276"/>
      <c r="G951" s="276"/>
      <c r="H951" s="276"/>
    </row>
    <row r="952">
      <c r="A952" s="276"/>
      <c r="B952" s="276"/>
      <c r="C952" s="276"/>
      <c r="D952" s="277"/>
      <c r="E952" s="277"/>
      <c r="F952" s="276"/>
      <c r="G952" s="276"/>
      <c r="H952" s="276"/>
    </row>
    <row r="953">
      <c r="A953" s="276"/>
      <c r="B953" s="276"/>
      <c r="C953" s="276"/>
      <c r="D953" s="277"/>
      <c r="E953" s="277"/>
      <c r="F953" s="276"/>
      <c r="G953" s="276"/>
      <c r="H953" s="276"/>
    </row>
    <row r="954">
      <c r="A954" s="276"/>
      <c r="B954" s="276"/>
      <c r="C954" s="276"/>
      <c r="D954" s="277"/>
      <c r="E954" s="277"/>
      <c r="F954" s="276"/>
      <c r="G954" s="276"/>
      <c r="H954" s="276"/>
    </row>
    <row r="955">
      <c r="A955" s="276"/>
      <c r="B955" s="276"/>
      <c r="C955" s="276"/>
      <c r="D955" s="277"/>
      <c r="E955" s="277"/>
      <c r="F955" s="276"/>
      <c r="G955" s="276"/>
      <c r="H955" s="276"/>
    </row>
    <row r="956">
      <c r="A956" s="276"/>
      <c r="B956" s="276"/>
      <c r="C956" s="276"/>
      <c r="D956" s="277"/>
      <c r="E956" s="277"/>
      <c r="F956" s="276"/>
      <c r="G956" s="276"/>
      <c r="H956" s="276"/>
    </row>
    <row r="957">
      <c r="A957" s="276"/>
      <c r="B957" s="276"/>
      <c r="C957" s="276"/>
      <c r="D957" s="277"/>
      <c r="E957" s="277"/>
      <c r="F957" s="276"/>
      <c r="G957" s="276"/>
      <c r="H957" s="276"/>
    </row>
    <row r="958">
      <c r="A958" s="276"/>
      <c r="B958" s="276"/>
      <c r="C958" s="276"/>
      <c r="D958" s="277"/>
      <c r="E958" s="277"/>
      <c r="F958" s="276"/>
      <c r="G958" s="276"/>
      <c r="H958" s="276"/>
    </row>
    <row r="959">
      <c r="A959" s="276"/>
      <c r="B959" s="276"/>
      <c r="C959" s="276"/>
      <c r="D959" s="277"/>
      <c r="E959" s="277"/>
      <c r="F959" s="276"/>
      <c r="G959" s="276"/>
      <c r="H959" s="276"/>
    </row>
    <row r="960">
      <c r="A960" s="276"/>
      <c r="B960" s="276"/>
      <c r="C960" s="276"/>
      <c r="D960" s="277"/>
      <c r="E960" s="277"/>
      <c r="F960" s="276"/>
      <c r="G960" s="276"/>
      <c r="H960" s="276"/>
    </row>
    <row r="961">
      <c r="A961" s="276"/>
      <c r="B961" s="276"/>
      <c r="C961" s="276"/>
      <c r="D961" s="277"/>
      <c r="E961" s="277"/>
      <c r="F961" s="276"/>
      <c r="G961" s="276"/>
      <c r="H961" s="276"/>
    </row>
    <row r="962">
      <c r="A962" s="276"/>
      <c r="B962" s="276"/>
      <c r="C962" s="276"/>
      <c r="D962" s="277"/>
      <c r="E962" s="277"/>
      <c r="F962" s="276"/>
      <c r="G962" s="276"/>
      <c r="H962" s="276"/>
    </row>
    <row r="963">
      <c r="A963" s="276"/>
      <c r="B963" s="276"/>
      <c r="C963" s="276"/>
      <c r="D963" s="277"/>
      <c r="E963" s="277"/>
      <c r="F963" s="276"/>
      <c r="G963" s="276"/>
      <c r="H963" s="276"/>
    </row>
    <row r="964">
      <c r="A964" s="276"/>
      <c r="B964" s="276"/>
      <c r="C964" s="276"/>
      <c r="D964" s="277"/>
      <c r="E964" s="277"/>
      <c r="F964" s="276"/>
      <c r="G964" s="276"/>
      <c r="H964" s="276"/>
    </row>
    <row r="965">
      <c r="A965" s="276"/>
      <c r="B965" s="276"/>
      <c r="C965" s="276"/>
      <c r="D965" s="277"/>
      <c r="E965" s="277"/>
      <c r="F965" s="276"/>
      <c r="G965" s="276"/>
      <c r="H965" s="276"/>
    </row>
    <row r="966">
      <c r="A966" s="276"/>
      <c r="B966" s="276"/>
      <c r="C966" s="276"/>
      <c r="D966" s="277"/>
      <c r="E966" s="277"/>
      <c r="F966" s="276"/>
      <c r="G966" s="276"/>
      <c r="H966" s="276"/>
    </row>
    <row r="967">
      <c r="A967" s="276"/>
      <c r="B967" s="276"/>
      <c r="C967" s="276"/>
      <c r="D967" s="277"/>
      <c r="E967" s="277"/>
      <c r="F967" s="276"/>
      <c r="G967" s="276"/>
      <c r="H967" s="276"/>
    </row>
    <row r="968">
      <c r="A968" s="276"/>
      <c r="B968" s="276"/>
      <c r="C968" s="276"/>
      <c r="D968" s="277"/>
      <c r="E968" s="277"/>
      <c r="F968" s="276"/>
      <c r="G968" s="276"/>
      <c r="H968" s="276"/>
    </row>
    <row r="969">
      <c r="A969" s="276"/>
      <c r="B969" s="276"/>
      <c r="C969" s="276"/>
      <c r="D969" s="277"/>
      <c r="E969" s="277"/>
      <c r="F969" s="276"/>
      <c r="G969" s="276"/>
      <c r="H969" s="276"/>
    </row>
    <row r="970">
      <c r="A970" s="276"/>
      <c r="B970" s="276"/>
      <c r="C970" s="276"/>
      <c r="D970" s="277"/>
      <c r="E970" s="277"/>
      <c r="F970" s="276"/>
      <c r="G970" s="276"/>
      <c r="H970" s="276"/>
    </row>
    <row r="971">
      <c r="A971" s="276"/>
      <c r="B971" s="276"/>
      <c r="C971" s="276"/>
      <c r="D971" s="277"/>
      <c r="E971" s="277"/>
      <c r="F971" s="276"/>
      <c r="G971" s="276"/>
      <c r="H971" s="276"/>
    </row>
    <row r="972">
      <c r="A972" s="276"/>
      <c r="B972" s="276"/>
      <c r="C972" s="276"/>
      <c r="D972" s="277"/>
      <c r="E972" s="277"/>
      <c r="F972" s="276"/>
      <c r="G972" s="276"/>
      <c r="H972" s="276"/>
    </row>
    <row r="973">
      <c r="A973" s="276"/>
      <c r="B973" s="276"/>
      <c r="C973" s="276"/>
      <c r="D973" s="277"/>
      <c r="E973" s="277"/>
      <c r="F973" s="276"/>
      <c r="G973" s="276"/>
      <c r="H973" s="276"/>
    </row>
    <row r="974">
      <c r="A974" s="276"/>
      <c r="B974" s="276"/>
      <c r="C974" s="276"/>
      <c r="D974" s="277"/>
      <c r="E974" s="277"/>
      <c r="F974" s="276"/>
      <c r="G974" s="276"/>
      <c r="H974" s="276"/>
    </row>
    <row r="975">
      <c r="A975" s="276"/>
      <c r="B975" s="276"/>
      <c r="C975" s="276"/>
      <c r="D975" s="277"/>
      <c r="E975" s="277"/>
      <c r="F975" s="276"/>
      <c r="G975" s="276"/>
      <c r="H975" s="276"/>
    </row>
    <row r="976">
      <c r="A976" s="276"/>
      <c r="B976" s="276"/>
      <c r="C976" s="276"/>
      <c r="D976" s="277"/>
      <c r="E976" s="277"/>
      <c r="F976" s="276"/>
      <c r="G976" s="276"/>
      <c r="H976" s="276"/>
    </row>
    <row r="977">
      <c r="A977" s="276"/>
      <c r="B977" s="276"/>
      <c r="C977" s="276"/>
      <c r="D977" s="277"/>
      <c r="E977" s="277"/>
      <c r="F977" s="276"/>
      <c r="G977" s="276"/>
      <c r="H977" s="276"/>
    </row>
    <row r="978">
      <c r="A978" s="276"/>
      <c r="B978" s="276"/>
      <c r="C978" s="276"/>
      <c r="D978" s="277"/>
      <c r="E978" s="277"/>
      <c r="F978" s="276"/>
      <c r="G978" s="276"/>
      <c r="H978" s="276"/>
    </row>
    <row r="979">
      <c r="A979" s="276"/>
      <c r="B979" s="276"/>
      <c r="C979" s="276"/>
      <c r="D979" s="277"/>
      <c r="E979" s="277"/>
      <c r="F979" s="276"/>
      <c r="G979" s="276"/>
      <c r="H979" s="276"/>
    </row>
    <row r="980">
      <c r="A980" s="276"/>
      <c r="B980" s="276"/>
      <c r="C980" s="276"/>
      <c r="D980" s="277"/>
      <c r="E980" s="277"/>
      <c r="F980" s="276"/>
      <c r="G980" s="276"/>
      <c r="H980" s="276"/>
    </row>
    <row r="981">
      <c r="A981" s="276"/>
      <c r="B981" s="276"/>
      <c r="C981" s="276"/>
      <c r="D981" s="277"/>
      <c r="E981" s="277"/>
      <c r="F981" s="276"/>
      <c r="G981" s="276"/>
      <c r="H981" s="276"/>
    </row>
    <row r="982">
      <c r="A982" s="276"/>
      <c r="B982" s="276"/>
      <c r="C982" s="276"/>
      <c r="D982" s="277"/>
      <c r="E982" s="277"/>
      <c r="F982" s="276"/>
      <c r="G982" s="276"/>
      <c r="H982" s="276"/>
    </row>
    <row r="983">
      <c r="A983" s="276"/>
      <c r="B983" s="276"/>
      <c r="C983" s="276"/>
      <c r="D983" s="277"/>
      <c r="E983" s="277"/>
      <c r="F983" s="276"/>
      <c r="G983" s="276"/>
      <c r="H983" s="276"/>
    </row>
    <row r="984">
      <c r="A984" s="276"/>
      <c r="B984" s="276"/>
      <c r="C984" s="276"/>
      <c r="D984" s="277"/>
      <c r="E984" s="277"/>
      <c r="F984" s="276"/>
      <c r="G984" s="276"/>
      <c r="H984" s="276"/>
    </row>
    <row r="985">
      <c r="A985" s="276"/>
      <c r="B985" s="276"/>
      <c r="C985" s="276"/>
      <c r="D985" s="277"/>
      <c r="E985" s="277"/>
      <c r="F985" s="276"/>
      <c r="G985" s="276"/>
      <c r="H985" s="276"/>
    </row>
    <row r="986">
      <c r="A986" s="276"/>
      <c r="B986" s="276"/>
      <c r="C986" s="276"/>
      <c r="D986" s="277"/>
      <c r="E986" s="277"/>
      <c r="F986" s="276"/>
      <c r="G986" s="276"/>
      <c r="H986" s="276"/>
    </row>
    <row r="987">
      <c r="A987" s="276"/>
      <c r="B987" s="276"/>
      <c r="C987" s="276"/>
      <c r="D987" s="277"/>
      <c r="E987" s="277"/>
      <c r="F987" s="276"/>
      <c r="G987" s="276"/>
      <c r="H987" s="276"/>
    </row>
    <row r="988">
      <c r="A988" s="276"/>
      <c r="B988" s="276"/>
      <c r="C988" s="276"/>
      <c r="D988" s="277"/>
      <c r="E988" s="277"/>
      <c r="F988" s="276"/>
      <c r="G988" s="276"/>
      <c r="H988" s="276"/>
    </row>
    <row r="989">
      <c r="A989" s="276"/>
      <c r="B989" s="276"/>
      <c r="C989" s="276"/>
      <c r="D989" s="277"/>
      <c r="E989" s="277"/>
      <c r="F989" s="276"/>
      <c r="G989" s="276"/>
      <c r="H989" s="276"/>
    </row>
    <row r="990">
      <c r="A990" s="276"/>
      <c r="B990" s="276"/>
      <c r="C990" s="276"/>
      <c r="D990" s="277"/>
      <c r="E990" s="277"/>
      <c r="F990" s="276"/>
      <c r="G990" s="276"/>
      <c r="H990" s="276"/>
    </row>
    <row r="991">
      <c r="A991" s="276"/>
      <c r="B991" s="276"/>
      <c r="C991" s="276"/>
      <c r="D991" s="277"/>
      <c r="E991" s="277"/>
      <c r="F991" s="276"/>
      <c r="G991" s="276"/>
      <c r="H991" s="276"/>
    </row>
    <row r="992">
      <c r="A992" s="276"/>
      <c r="B992" s="276"/>
      <c r="C992" s="276"/>
      <c r="D992" s="277"/>
      <c r="E992" s="277"/>
      <c r="F992" s="276"/>
      <c r="G992" s="276"/>
      <c r="H992" s="276"/>
    </row>
    <row r="993">
      <c r="A993" s="276"/>
      <c r="B993" s="276"/>
      <c r="C993" s="276"/>
      <c r="D993" s="277"/>
      <c r="E993" s="277"/>
      <c r="F993" s="276"/>
      <c r="G993" s="276"/>
      <c r="H993" s="276"/>
    </row>
    <row r="994">
      <c r="A994" s="276"/>
      <c r="B994" s="276"/>
      <c r="C994" s="276"/>
      <c r="D994" s="277"/>
      <c r="E994" s="277"/>
      <c r="F994" s="276"/>
      <c r="G994" s="276"/>
      <c r="H994" s="276"/>
    </row>
    <row r="995">
      <c r="A995" s="276"/>
      <c r="B995" s="276"/>
      <c r="C995" s="276"/>
      <c r="D995" s="277"/>
      <c r="E995" s="277"/>
      <c r="F995" s="276"/>
      <c r="G995" s="276"/>
      <c r="H995" s="276"/>
    </row>
    <row r="996">
      <c r="A996" s="276"/>
      <c r="B996" s="276"/>
      <c r="C996" s="276"/>
      <c r="D996" s="277"/>
      <c r="E996" s="277"/>
      <c r="F996" s="276"/>
      <c r="G996" s="276"/>
      <c r="H996" s="276"/>
    </row>
    <row r="997">
      <c r="A997" s="276"/>
      <c r="B997" s="276"/>
      <c r="C997" s="276"/>
      <c r="D997" s="277"/>
      <c r="E997" s="277"/>
      <c r="F997" s="276"/>
      <c r="G997" s="276"/>
      <c r="H997" s="276"/>
    </row>
    <row r="998">
      <c r="A998" s="276"/>
      <c r="B998" s="276"/>
      <c r="C998" s="276"/>
      <c r="D998" s="277"/>
      <c r="E998" s="277"/>
      <c r="F998" s="276"/>
      <c r="G998" s="276"/>
      <c r="H998" s="276"/>
    </row>
    <row r="999">
      <c r="A999" s="276"/>
      <c r="B999" s="276"/>
      <c r="C999" s="276"/>
      <c r="D999" s="277"/>
      <c r="E999" s="277"/>
      <c r="F999" s="276"/>
      <c r="G999" s="276"/>
      <c r="H999" s="276"/>
    </row>
    <row r="1000">
      <c r="A1000" s="276"/>
      <c r="B1000" s="276"/>
      <c r="C1000" s="276"/>
      <c r="D1000" s="277"/>
      <c r="E1000" s="277"/>
      <c r="F1000" s="276"/>
      <c r="G1000" s="276"/>
      <c r="H1000" s="27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7.38"/>
    <col customWidth="1" min="5" max="5" width="14.0"/>
    <col customWidth="1" min="6" max="6" width="6.38"/>
    <col customWidth="1" min="8" max="8" width="10.38"/>
    <col customWidth="1" min="10" max="10" width="11.5"/>
    <col customWidth="1" min="13" max="13" width="6.13"/>
    <col customWidth="1" min="16" max="16" width="6.25"/>
    <col customWidth="1" min="20" max="20" width="35.75"/>
    <col customWidth="1" min="22" max="22" width="18.13"/>
  </cols>
  <sheetData>
    <row r="3">
      <c r="I3" s="33" t="s">
        <v>12</v>
      </c>
    </row>
    <row r="5">
      <c r="I5" s="37" t="s">
        <v>13</v>
      </c>
      <c r="J5" s="40"/>
    </row>
    <row r="6">
      <c r="I6" s="42" t="s">
        <v>14</v>
      </c>
      <c r="J6" s="40"/>
    </row>
    <row r="7">
      <c r="J7" s="45"/>
    </row>
    <row r="8">
      <c r="J8" s="45"/>
    </row>
    <row r="9">
      <c r="I9" s="37" t="s">
        <v>15</v>
      </c>
      <c r="J9" s="40"/>
    </row>
    <row r="10">
      <c r="G10" s="49"/>
      <c r="H10" s="51"/>
      <c r="I10" s="42" t="s">
        <v>16</v>
      </c>
      <c r="J10" s="40"/>
      <c r="K10" s="51"/>
      <c r="L10" s="45"/>
    </row>
    <row r="11">
      <c r="G11" s="49"/>
      <c r="J11" s="45"/>
      <c r="L11" s="45"/>
    </row>
    <row r="12">
      <c r="G12" s="49"/>
      <c r="J12" s="45"/>
      <c r="L12" s="45"/>
    </row>
    <row r="13">
      <c r="G13" s="37" t="s">
        <v>18</v>
      </c>
      <c r="H13" s="40"/>
      <c r="I13" s="57"/>
      <c r="J13" s="58"/>
      <c r="K13" s="37" t="s">
        <v>19</v>
      </c>
      <c r="L13" s="40"/>
    </row>
    <row r="14">
      <c r="G14" s="42" t="s">
        <v>20</v>
      </c>
      <c r="H14" s="40"/>
      <c r="I14" s="57"/>
      <c r="J14" s="58"/>
      <c r="K14" s="42" t="s">
        <v>22</v>
      </c>
      <c r="L14" s="40"/>
      <c r="O14" s="62"/>
    </row>
    <row r="15">
      <c r="H15" s="45"/>
      <c r="J15" s="45"/>
      <c r="L15" s="45"/>
      <c r="O15" s="62"/>
    </row>
    <row r="16">
      <c r="G16" s="66" t="s">
        <v>24</v>
      </c>
      <c r="H16" s="40"/>
      <c r="J16" s="45"/>
      <c r="K16" s="66" t="s">
        <v>25</v>
      </c>
      <c r="L16" s="40"/>
      <c r="T16" s="68" t="s">
        <v>28</v>
      </c>
      <c r="U16" s="70"/>
      <c r="V16" s="70"/>
    </row>
    <row r="17">
      <c r="G17" s="73" t="s">
        <v>30</v>
      </c>
      <c r="H17" s="40"/>
      <c r="J17" s="45"/>
      <c r="K17" s="73" t="s">
        <v>30</v>
      </c>
      <c r="L17" s="40"/>
      <c r="T17" s="75" t="s">
        <v>31</v>
      </c>
      <c r="U17" s="70"/>
      <c r="V17" s="70"/>
    </row>
    <row r="18">
      <c r="E18" s="78"/>
      <c r="F18" s="51"/>
      <c r="G18" s="42" t="s">
        <v>33</v>
      </c>
      <c r="H18" s="40"/>
      <c r="J18" s="45"/>
      <c r="K18" s="42" t="s">
        <v>35</v>
      </c>
      <c r="L18" s="40"/>
      <c r="M18" s="51"/>
      <c r="N18" s="51"/>
      <c r="O18" s="78"/>
      <c r="P18" s="51"/>
      <c r="Q18" s="51"/>
      <c r="R18" s="45"/>
      <c r="T18" s="68" t="s">
        <v>40</v>
      </c>
      <c r="U18" s="70"/>
      <c r="V18" s="70"/>
    </row>
    <row r="19">
      <c r="E19" s="45"/>
      <c r="G19" s="57"/>
      <c r="H19" s="58"/>
      <c r="J19" s="45"/>
      <c r="K19" s="49"/>
      <c r="O19" s="45"/>
      <c r="R19" s="45"/>
      <c r="T19" s="68" t="s">
        <v>41</v>
      </c>
      <c r="U19" s="68" t="s">
        <v>43</v>
      </c>
      <c r="V19" s="70"/>
    </row>
    <row r="20">
      <c r="E20" s="45"/>
      <c r="G20" s="86" t="s">
        <v>44</v>
      </c>
      <c r="H20" s="58"/>
      <c r="J20" s="45"/>
      <c r="K20" s="49"/>
      <c r="O20" s="45"/>
      <c r="R20" s="45"/>
      <c r="T20" s="68" t="s">
        <v>46</v>
      </c>
      <c r="U20" s="70"/>
      <c r="V20" s="70"/>
    </row>
    <row r="21">
      <c r="D21" s="90" t="s">
        <v>48</v>
      </c>
      <c r="E21" s="91"/>
      <c r="G21" s="90" t="s">
        <v>51</v>
      </c>
      <c r="H21" s="91"/>
      <c r="J21" s="45"/>
      <c r="K21" s="94" t="s">
        <v>53</v>
      </c>
      <c r="L21" s="40"/>
      <c r="M21" s="57"/>
      <c r="N21" s="94" t="s">
        <v>56</v>
      </c>
      <c r="O21" s="40"/>
      <c r="P21" s="57"/>
      <c r="Q21" s="94" t="s">
        <v>58</v>
      </c>
      <c r="R21" s="40"/>
      <c r="T21" s="68" t="s">
        <v>60</v>
      </c>
      <c r="U21" s="68" t="s">
        <v>61</v>
      </c>
      <c r="V21" s="70"/>
    </row>
    <row r="22">
      <c r="D22" s="42" t="s">
        <v>62</v>
      </c>
      <c r="E22" s="40"/>
      <c r="G22" s="42" t="s">
        <v>64</v>
      </c>
      <c r="H22" s="40"/>
      <c r="J22" s="45"/>
      <c r="K22" s="98" t="s">
        <v>35</v>
      </c>
      <c r="L22" s="99"/>
      <c r="M22" s="57"/>
      <c r="N22" s="98" t="s">
        <v>72</v>
      </c>
      <c r="O22" s="99"/>
      <c r="P22" s="57"/>
      <c r="Q22" s="101" t="s">
        <v>76</v>
      </c>
      <c r="R22" s="104"/>
      <c r="T22" s="68" t="s">
        <v>77</v>
      </c>
      <c r="U22" s="70"/>
      <c r="V22" s="70"/>
    </row>
    <row r="23">
      <c r="D23" s="42" t="s">
        <v>78</v>
      </c>
      <c r="E23" s="40"/>
      <c r="J23" s="45"/>
      <c r="Q23" s="110" t="s">
        <v>82</v>
      </c>
      <c r="R23" s="114"/>
      <c r="T23" s="70"/>
      <c r="U23" s="70"/>
      <c r="V23" s="70"/>
    </row>
    <row r="24">
      <c r="J24" s="45"/>
      <c r="T24" s="68" t="s">
        <v>87</v>
      </c>
      <c r="U24" s="70"/>
      <c r="V24" s="70"/>
    </row>
    <row r="25">
      <c r="J25" s="45"/>
      <c r="T25" s="68" t="s">
        <v>88</v>
      </c>
      <c r="U25" s="70"/>
      <c r="V25" s="70"/>
    </row>
    <row r="26">
      <c r="G26" s="118" t="s">
        <v>89</v>
      </c>
      <c r="H26" s="40"/>
      <c r="J26" s="45"/>
      <c r="K26" s="118" t="s">
        <v>91</v>
      </c>
      <c r="L26" s="40"/>
      <c r="P26" s="120" t="s">
        <v>44</v>
      </c>
      <c r="T26" s="68" t="s">
        <v>92</v>
      </c>
      <c r="U26" s="70"/>
      <c r="V26" s="70"/>
    </row>
    <row r="27">
      <c r="G27" s="131" t="s">
        <v>30</v>
      </c>
      <c r="H27" s="91"/>
      <c r="I27" s="51"/>
      <c r="J27" s="51"/>
      <c r="K27" s="132" t="s">
        <v>101</v>
      </c>
      <c r="L27" s="91"/>
      <c r="T27" s="68" t="s">
        <v>104</v>
      </c>
      <c r="U27" s="70"/>
      <c r="V27" s="70"/>
    </row>
    <row r="28">
      <c r="B28" s="78"/>
      <c r="C28" s="51"/>
      <c r="D28" s="51"/>
      <c r="E28" s="78"/>
      <c r="F28" s="51"/>
      <c r="G28" s="42" t="s">
        <v>105</v>
      </c>
      <c r="H28" s="40"/>
      <c r="K28" s="98" t="s">
        <v>107</v>
      </c>
      <c r="L28" s="99"/>
      <c r="M28" s="45"/>
      <c r="T28" s="70"/>
      <c r="U28" s="70"/>
      <c r="V28" s="70"/>
    </row>
    <row r="29">
      <c r="B29" s="45"/>
      <c r="E29" s="45"/>
      <c r="H29" s="45"/>
      <c r="K29" s="42" t="s">
        <v>108</v>
      </c>
      <c r="L29" s="40"/>
      <c r="T29" s="68" t="s">
        <v>110</v>
      </c>
      <c r="U29" s="70"/>
      <c r="V29" s="70"/>
    </row>
    <row r="30">
      <c r="B30" s="45"/>
      <c r="E30" s="45"/>
      <c r="H30" s="45"/>
      <c r="L30" s="45"/>
      <c r="T30" s="68" t="s">
        <v>112</v>
      </c>
      <c r="U30" s="70"/>
      <c r="V30" s="70"/>
    </row>
    <row r="31">
      <c r="A31" s="90" t="s">
        <v>113</v>
      </c>
      <c r="B31" s="91"/>
      <c r="C31" s="57"/>
      <c r="D31" s="90" t="s">
        <v>114</v>
      </c>
      <c r="E31" s="91"/>
      <c r="F31" s="57"/>
      <c r="G31" s="90" t="s">
        <v>116</v>
      </c>
      <c r="H31" s="91"/>
      <c r="K31" s="94" t="s">
        <v>117</v>
      </c>
      <c r="L31" s="40"/>
      <c r="T31" s="68" t="s">
        <v>122</v>
      </c>
      <c r="U31" s="70"/>
      <c r="V31" s="70"/>
    </row>
    <row r="32">
      <c r="A32" s="42" t="s">
        <v>123</v>
      </c>
      <c r="B32" s="40"/>
      <c r="C32" s="57"/>
      <c r="D32" s="98" t="s">
        <v>124</v>
      </c>
      <c r="E32" s="99"/>
      <c r="F32" s="57"/>
      <c r="G32" s="141" t="s">
        <v>125</v>
      </c>
      <c r="H32" s="40"/>
      <c r="K32" s="98" t="s">
        <v>126</v>
      </c>
      <c r="L32" s="99"/>
      <c r="M32" s="57"/>
      <c r="T32" s="68" t="s">
        <v>127</v>
      </c>
      <c r="U32" s="70"/>
      <c r="V32" s="70"/>
    </row>
    <row r="33">
      <c r="K33" s="42" t="s">
        <v>128</v>
      </c>
      <c r="L33" s="40"/>
      <c r="N33" s="57"/>
      <c r="T33" s="68" t="s">
        <v>129</v>
      </c>
      <c r="U33" s="70"/>
      <c r="V33" s="70"/>
    </row>
    <row r="34">
      <c r="K34" s="42" t="s">
        <v>130</v>
      </c>
      <c r="L34" s="40"/>
      <c r="T34" s="70"/>
      <c r="U34" s="70"/>
      <c r="V34" s="70"/>
    </row>
    <row r="35">
      <c r="T35" s="68" t="s">
        <v>131</v>
      </c>
      <c r="U35" s="68" t="s">
        <v>132</v>
      </c>
      <c r="V35" s="148" t="s">
        <v>133</v>
      </c>
    </row>
    <row r="36">
      <c r="T36" s="68" t="s">
        <v>135</v>
      </c>
      <c r="U36" s="68" t="s">
        <v>136</v>
      </c>
      <c r="V36" s="38"/>
    </row>
    <row r="37">
      <c r="T37" s="68" t="s">
        <v>137</v>
      </c>
      <c r="U37" s="68" t="s">
        <v>138</v>
      </c>
      <c r="V37" s="38"/>
    </row>
    <row r="38">
      <c r="T38" s="68" t="s">
        <v>139</v>
      </c>
      <c r="U38" s="68" t="s">
        <v>140</v>
      </c>
      <c r="V38" s="46"/>
    </row>
  </sheetData>
  <mergeCells count="47">
    <mergeCell ref="D2:E2"/>
    <mergeCell ref="I3:J3"/>
    <mergeCell ref="I5:J5"/>
    <mergeCell ref="I6:J6"/>
    <mergeCell ref="I9:J9"/>
    <mergeCell ref="I10:J10"/>
    <mergeCell ref="K13:L13"/>
    <mergeCell ref="G13:H13"/>
    <mergeCell ref="G14:H14"/>
    <mergeCell ref="K14:L14"/>
    <mergeCell ref="G16:H16"/>
    <mergeCell ref="K16:L16"/>
    <mergeCell ref="G17:H17"/>
    <mergeCell ref="G18:H18"/>
    <mergeCell ref="N21:O21"/>
    <mergeCell ref="N22:O22"/>
    <mergeCell ref="Q23:R23"/>
    <mergeCell ref="K17:L17"/>
    <mergeCell ref="K18:L18"/>
    <mergeCell ref="D21:E21"/>
    <mergeCell ref="K21:L21"/>
    <mergeCell ref="Q21:R21"/>
    <mergeCell ref="D22:E22"/>
    <mergeCell ref="K22:L22"/>
    <mergeCell ref="Q22:R22"/>
    <mergeCell ref="G21:H21"/>
    <mergeCell ref="G22:H22"/>
    <mergeCell ref="D23:E23"/>
    <mergeCell ref="G26:H26"/>
    <mergeCell ref="K26:L26"/>
    <mergeCell ref="G27:H27"/>
    <mergeCell ref="G28:H28"/>
    <mergeCell ref="D31:E31"/>
    <mergeCell ref="D32:E32"/>
    <mergeCell ref="K31:L31"/>
    <mergeCell ref="K32:L32"/>
    <mergeCell ref="K33:L33"/>
    <mergeCell ref="N33:O33"/>
    <mergeCell ref="K34:L34"/>
    <mergeCell ref="V35:V38"/>
    <mergeCell ref="K27:L27"/>
    <mergeCell ref="K28:L28"/>
    <mergeCell ref="K29:L29"/>
    <mergeCell ref="A31:B31"/>
    <mergeCell ref="G31:H31"/>
    <mergeCell ref="A32:B32"/>
    <mergeCell ref="G32:H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26.88"/>
    <col customWidth="1" min="4" max="4" width="10.63"/>
    <col customWidth="1" min="5" max="5" width="29.63"/>
    <col customWidth="1" min="6" max="6" width="17.63"/>
    <col customWidth="1" min="7" max="7" width="91.5"/>
    <col customWidth="1" min="8" max="10" width="17.63"/>
    <col customWidth="1" min="11" max="11" width="27.25"/>
    <col customWidth="1" min="12" max="12" width="26.75"/>
  </cols>
  <sheetData>
    <row r="1">
      <c r="A1" s="234"/>
      <c r="B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</row>
    <row r="2"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</row>
    <row r="3">
      <c r="N3" s="235"/>
      <c r="O3" s="235"/>
      <c r="P3" s="235"/>
      <c r="Q3" s="235"/>
      <c r="R3" s="235"/>
      <c r="S3" s="235"/>
      <c r="T3" s="239"/>
      <c r="V3" s="235"/>
      <c r="W3" s="235"/>
      <c r="X3" s="235"/>
      <c r="Y3" s="235"/>
      <c r="Z3" s="235"/>
      <c r="AA3" s="235"/>
      <c r="AB3" s="235"/>
      <c r="AC3" s="235"/>
    </row>
    <row r="4" ht="22.5" customHeight="1">
      <c r="B4" s="241" t="s">
        <v>63</v>
      </c>
      <c r="C4" s="245" t="s">
        <v>205</v>
      </c>
      <c r="D4" s="245" t="s">
        <v>206</v>
      </c>
      <c r="E4" s="245" t="s">
        <v>207</v>
      </c>
      <c r="F4" s="245" t="s">
        <v>209</v>
      </c>
      <c r="G4" s="245" t="s">
        <v>210</v>
      </c>
      <c r="H4" s="245" t="s">
        <v>211</v>
      </c>
      <c r="I4" s="248" t="s">
        <v>213</v>
      </c>
      <c r="J4" s="248" t="s">
        <v>214</v>
      </c>
      <c r="K4" s="245" t="s">
        <v>215</v>
      </c>
      <c r="L4" s="245" t="s">
        <v>216</v>
      </c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</row>
    <row r="5" ht="22.5" customHeight="1">
      <c r="B5" s="249">
        <v>1.0</v>
      </c>
      <c r="C5" s="100" t="s">
        <v>14</v>
      </c>
      <c r="D5" s="250">
        <v>3.12023002E8</v>
      </c>
      <c r="E5" s="100" t="s">
        <v>217</v>
      </c>
      <c r="F5" s="251">
        <v>38584.0</v>
      </c>
      <c r="G5" s="252" t="s">
        <v>218</v>
      </c>
      <c r="H5" s="100">
        <v>7.580869925E9</v>
      </c>
      <c r="I5" s="253"/>
      <c r="J5" s="253"/>
      <c r="K5" s="254" t="s">
        <v>219</v>
      </c>
      <c r="L5" s="255" t="s">
        <v>222</v>
      </c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</row>
    <row r="6" ht="22.5" customHeight="1">
      <c r="B6" s="259">
        <f>1+1</f>
        <v>2</v>
      </c>
      <c r="C6" s="100" t="s">
        <v>16</v>
      </c>
      <c r="D6" s="250">
        <v>3.22024025E8</v>
      </c>
      <c r="E6" s="100"/>
      <c r="F6" s="261">
        <v>38518.0</v>
      </c>
      <c r="G6" s="263" t="s">
        <v>227</v>
      </c>
      <c r="H6" s="264">
        <v>4.670319887E9</v>
      </c>
      <c r="I6" s="253"/>
      <c r="J6" s="253"/>
      <c r="K6" s="266" t="s">
        <v>229</v>
      </c>
      <c r="L6" s="268" t="s">
        <v>230</v>
      </c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</row>
    <row r="7" ht="22.5" customHeight="1">
      <c r="B7" s="249">
        <f t="shared" ref="B7:B17" si="1">B6+1</f>
        <v>3</v>
      </c>
      <c r="C7" s="153" t="s">
        <v>20</v>
      </c>
      <c r="D7" s="272">
        <v>3.22024033E8</v>
      </c>
      <c r="E7" s="153"/>
      <c r="F7" s="273">
        <v>38658.0</v>
      </c>
      <c r="G7" s="274" t="s">
        <v>233</v>
      </c>
      <c r="H7" s="275" t="s">
        <v>235</v>
      </c>
      <c r="I7" s="278"/>
      <c r="J7" s="278"/>
      <c r="K7" s="254" t="s">
        <v>229</v>
      </c>
      <c r="L7" s="279" t="s">
        <v>237</v>
      </c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</row>
    <row r="8" ht="22.5" customHeight="1">
      <c r="B8" s="259">
        <f t="shared" si="1"/>
        <v>4</v>
      </c>
      <c r="C8" s="100" t="s">
        <v>22</v>
      </c>
      <c r="D8" s="250">
        <v>3.22024034E8</v>
      </c>
      <c r="E8" s="100"/>
      <c r="F8" s="280">
        <v>38764.0</v>
      </c>
      <c r="G8" s="281" t="s">
        <v>242</v>
      </c>
      <c r="H8" s="178">
        <v>8.400305413E9</v>
      </c>
      <c r="I8" s="282"/>
      <c r="J8" s="278"/>
      <c r="K8" s="266" t="s">
        <v>229</v>
      </c>
      <c r="L8" s="283" t="s">
        <v>245</v>
      </c>
      <c r="M8" s="235"/>
      <c r="N8" s="235"/>
      <c r="O8" s="235"/>
      <c r="P8" s="235"/>
      <c r="Q8" s="235"/>
      <c r="R8" s="235"/>
      <c r="S8" s="235"/>
      <c r="T8" s="235"/>
      <c r="U8" s="235"/>
      <c r="V8" s="235"/>
      <c r="Y8" s="235"/>
      <c r="Z8" s="235"/>
      <c r="AA8" s="235"/>
      <c r="AB8" s="235"/>
      <c r="AC8" s="235"/>
    </row>
    <row r="9" ht="22.5" customHeight="1">
      <c r="B9" s="249">
        <f t="shared" si="1"/>
        <v>5</v>
      </c>
      <c r="C9" s="167" t="s">
        <v>144</v>
      </c>
      <c r="D9" s="272">
        <v>3.22024014E8</v>
      </c>
      <c r="E9" s="167" t="s">
        <v>250</v>
      </c>
      <c r="F9" s="284">
        <v>38902.0</v>
      </c>
      <c r="G9" s="285" t="s">
        <v>251</v>
      </c>
      <c r="H9" s="286" t="s">
        <v>253</v>
      </c>
      <c r="I9" s="198" t="s">
        <v>253</v>
      </c>
      <c r="J9" s="288" t="s">
        <v>254</v>
      </c>
      <c r="K9" s="254" t="s">
        <v>229</v>
      </c>
      <c r="L9" s="254" t="s">
        <v>256</v>
      </c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</row>
    <row r="10" ht="22.5" customHeight="1">
      <c r="B10" s="259">
        <f t="shared" si="1"/>
        <v>6</v>
      </c>
      <c r="C10" s="178" t="s">
        <v>147</v>
      </c>
      <c r="D10" s="272">
        <v>3.22024099E8</v>
      </c>
      <c r="E10" s="293"/>
      <c r="F10" s="280">
        <v>38581.0</v>
      </c>
      <c r="G10" s="281" t="s">
        <v>259</v>
      </c>
      <c r="H10" s="178">
        <v>7.015859423E9</v>
      </c>
      <c r="I10" s="282"/>
      <c r="J10" s="282"/>
      <c r="K10" s="266" t="s">
        <v>229</v>
      </c>
      <c r="L10" s="266" t="s">
        <v>260</v>
      </c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</row>
    <row r="11" ht="22.5" customHeight="1">
      <c r="B11" s="249">
        <f t="shared" si="1"/>
        <v>7</v>
      </c>
      <c r="C11" s="178" t="s">
        <v>33</v>
      </c>
      <c r="D11" s="250">
        <v>3.12024086E8</v>
      </c>
      <c r="E11" s="195"/>
      <c r="F11" s="280">
        <v>39182.0</v>
      </c>
      <c r="G11" s="281" t="s">
        <v>264</v>
      </c>
      <c r="H11" s="178">
        <v>6.044547206E9</v>
      </c>
      <c r="I11" s="278"/>
      <c r="J11" s="278"/>
      <c r="K11" s="254" t="s">
        <v>268</v>
      </c>
      <c r="L11" s="254" t="s">
        <v>269</v>
      </c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</row>
    <row r="12" ht="22.5" customHeight="1">
      <c r="B12" s="301">
        <f t="shared" si="1"/>
        <v>8</v>
      </c>
      <c r="C12" s="195" t="s">
        <v>72</v>
      </c>
      <c r="D12" s="302">
        <v>3.12024082E8</v>
      </c>
      <c r="E12" s="195" t="s">
        <v>275</v>
      </c>
      <c r="F12" s="261">
        <v>38787.0</v>
      </c>
      <c r="G12" s="303" t="s">
        <v>276</v>
      </c>
      <c r="H12" s="264">
        <v>6.044153674E9</v>
      </c>
      <c r="I12" s="305" t="s">
        <v>279</v>
      </c>
      <c r="J12" s="305" t="s">
        <v>282</v>
      </c>
      <c r="K12" s="306" t="s">
        <v>268</v>
      </c>
      <c r="L12" s="306" t="s">
        <v>284</v>
      </c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</row>
    <row r="13" ht="22.5" customHeight="1">
      <c r="B13" s="249">
        <f t="shared" si="1"/>
        <v>9</v>
      </c>
      <c r="C13" s="198" t="s">
        <v>162</v>
      </c>
      <c r="D13" s="272">
        <v>3.22025055E8</v>
      </c>
      <c r="E13" s="198" t="s">
        <v>287</v>
      </c>
      <c r="F13" s="273">
        <v>39236.0</v>
      </c>
      <c r="G13" s="308" t="s">
        <v>289</v>
      </c>
      <c r="H13" s="309">
        <v>1.343236526E9</v>
      </c>
      <c r="I13" s="288" t="s">
        <v>290</v>
      </c>
      <c r="J13" s="288" t="s">
        <v>292</v>
      </c>
      <c r="K13" s="254" t="s">
        <v>293</v>
      </c>
      <c r="L13" s="254" t="s">
        <v>294</v>
      </c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</row>
    <row r="14" ht="22.5" customHeight="1">
      <c r="B14" s="301">
        <f t="shared" si="1"/>
        <v>10</v>
      </c>
      <c r="C14" s="195" t="s">
        <v>82</v>
      </c>
      <c r="D14" s="302">
        <v>3.22025035E8</v>
      </c>
      <c r="E14" s="195" t="s">
        <v>295</v>
      </c>
      <c r="F14" s="261">
        <v>39086.0</v>
      </c>
      <c r="G14" s="303" t="s">
        <v>296</v>
      </c>
      <c r="H14" s="264">
        <v>6.970371166E9</v>
      </c>
      <c r="I14" s="305" t="s">
        <v>297</v>
      </c>
      <c r="J14" s="305" t="s">
        <v>298</v>
      </c>
      <c r="K14" s="254" t="s">
        <v>293</v>
      </c>
      <c r="L14" s="306" t="s">
        <v>284</v>
      </c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</row>
    <row r="15" ht="22.5" customHeight="1">
      <c r="B15" s="316">
        <f t="shared" si="1"/>
        <v>11</v>
      </c>
      <c r="C15" s="167" t="s">
        <v>171</v>
      </c>
      <c r="D15" s="178">
        <v>3.22025001E8</v>
      </c>
      <c r="E15" s="167" t="s">
        <v>300</v>
      </c>
      <c r="F15" s="273">
        <v>46040.0</v>
      </c>
      <c r="G15" s="308" t="s">
        <v>301</v>
      </c>
      <c r="H15" s="309">
        <v>7.571074676E9</v>
      </c>
      <c r="I15" s="288" t="s">
        <v>302</v>
      </c>
      <c r="J15" s="288" t="s">
        <v>303</v>
      </c>
      <c r="K15" s="254" t="s">
        <v>293</v>
      </c>
      <c r="L15" s="317" t="s">
        <v>304</v>
      </c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</row>
    <row r="16" ht="22.5" customHeight="1">
      <c r="B16" s="301">
        <f t="shared" si="1"/>
        <v>12</v>
      </c>
      <c r="C16" s="212" t="s">
        <v>174</v>
      </c>
      <c r="D16" s="178">
        <v>3.1202504E8</v>
      </c>
      <c r="E16" s="212" t="s">
        <v>306</v>
      </c>
      <c r="F16" s="261">
        <v>39260.0</v>
      </c>
      <c r="G16" s="303" t="s">
        <v>307</v>
      </c>
      <c r="H16" s="264">
        <v>5.311362977E9</v>
      </c>
      <c r="I16" s="305" t="s">
        <v>308</v>
      </c>
      <c r="J16" s="305" t="s">
        <v>309</v>
      </c>
      <c r="K16" s="317" t="s">
        <v>310</v>
      </c>
      <c r="L16" s="317" t="s">
        <v>294</v>
      </c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</row>
    <row r="17" ht="22.5" customHeight="1">
      <c r="B17" s="301">
        <f t="shared" si="1"/>
        <v>13</v>
      </c>
      <c r="C17" s="212" t="s">
        <v>62</v>
      </c>
      <c r="D17" s="272">
        <v>3.2202501E8</v>
      </c>
      <c r="E17" s="212" t="s">
        <v>311</v>
      </c>
      <c r="F17" s="261">
        <v>38620.0</v>
      </c>
      <c r="G17" s="303" t="s">
        <v>312</v>
      </c>
      <c r="H17" s="264">
        <v>6.044329471E9</v>
      </c>
      <c r="I17" s="305" t="s">
        <v>313</v>
      </c>
      <c r="J17" s="305" t="s">
        <v>314</v>
      </c>
      <c r="K17" s="306" t="s">
        <v>293</v>
      </c>
      <c r="L17" s="306" t="s">
        <v>260</v>
      </c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</row>
    <row r="18" ht="22.5" customHeight="1">
      <c r="B18" s="320">
        <v>14.0</v>
      </c>
      <c r="C18" s="167" t="s">
        <v>124</v>
      </c>
      <c r="D18" s="250">
        <v>3.1202502E8</v>
      </c>
      <c r="E18" s="167" t="s">
        <v>315</v>
      </c>
      <c r="F18" s="273">
        <v>39283.0</v>
      </c>
      <c r="G18" s="308" t="s">
        <v>317</v>
      </c>
      <c r="H18" s="275" t="s">
        <v>318</v>
      </c>
      <c r="I18" s="288" t="s">
        <v>320</v>
      </c>
      <c r="J18" s="288" t="s">
        <v>332</v>
      </c>
      <c r="K18" s="254" t="s">
        <v>310</v>
      </c>
      <c r="L18" s="254" t="s">
        <v>337</v>
      </c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</row>
    <row r="19" ht="22.5" customHeight="1">
      <c r="B19" s="331">
        <v>15.0</v>
      </c>
      <c r="C19" s="195" t="s">
        <v>125</v>
      </c>
      <c r="D19" s="333">
        <v>3.12025045E8</v>
      </c>
      <c r="E19" s="212" t="s">
        <v>349</v>
      </c>
      <c r="F19" s="261">
        <v>39334.0</v>
      </c>
      <c r="G19" s="303" t="s">
        <v>352</v>
      </c>
      <c r="H19" s="264">
        <v>6.04237103E9</v>
      </c>
      <c r="I19" s="305" t="s">
        <v>354</v>
      </c>
      <c r="J19" s="305" t="s">
        <v>356</v>
      </c>
      <c r="K19" s="266" t="s">
        <v>310</v>
      </c>
      <c r="L19" s="266" t="s">
        <v>337</v>
      </c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</row>
    <row r="20" ht="22.5" customHeight="1">
      <c r="B20" s="259">
        <f t="shared" ref="B20:B25" si="2">B19+1</f>
        <v>16</v>
      </c>
      <c r="C20" s="167" t="s">
        <v>191</v>
      </c>
      <c r="D20" s="250">
        <v>3.22025039E8</v>
      </c>
      <c r="E20" s="167" t="s">
        <v>382</v>
      </c>
      <c r="F20" s="273">
        <v>39271.0</v>
      </c>
      <c r="G20" s="308" t="s">
        <v>383</v>
      </c>
      <c r="H20" s="309">
        <v>7.571149463E9</v>
      </c>
      <c r="I20" s="288" t="s">
        <v>385</v>
      </c>
      <c r="J20" s="288" t="s">
        <v>387</v>
      </c>
      <c r="K20" s="306" t="s">
        <v>293</v>
      </c>
      <c r="L20" s="317" t="s">
        <v>294</v>
      </c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</row>
    <row r="21" ht="22.5" customHeight="1">
      <c r="B21" s="249">
        <f t="shared" si="2"/>
        <v>17</v>
      </c>
      <c r="C21" s="195" t="s">
        <v>196</v>
      </c>
      <c r="D21" s="272">
        <v>3.22025032E8</v>
      </c>
      <c r="E21" s="212" t="s">
        <v>388</v>
      </c>
      <c r="F21" s="261">
        <v>39303.0</v>
      </c>
      <c r="G21" s="303" t="s">
        <v>389</v>
      </c>
      <c r="H21" s="264">
        <v>5.491114461E9</v>
      </c>
      <c r="I21" s="305" t="s">
        <v>390</v>
      </c>
      <c r="J21" s="305" t="s">
        <v>391</v>
      </c>
      <c r="K21" s="306" t="s">
        <v>293</v>
      </c>
      <c r="L21" s="317" t="s">
        <v>337</v>
      </c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</row>
    <row r="22" ht="22.5" customHeight="1">
      <c r="B22" s="259">
        <f t="shared" si="2"/>
        <v>18</v>
      </c>
      <c r="C22" s="198" t="s">
        <v>203</v>
      </c>
      <c r="D22" s="272">
        <v>3.22025002E8</v>
      </c>
      <c r="E22" s="198" t="s">
        <v>392</v>
      </c>
      <c r="F22" s="273">
        <v>39294.0</v>
      </c>
      <c r="G22" s="308" t="s">
        <v>393</v>
      </c>
      <c r="H22" s="309">
        <v>9.01123766598E11</v>
      </c>
      <c r="I22" s="288" t="s">
        <v>394</v>
      </c>
      <c r="J22" s="288" t="s">
        <v>395</v>
      </c>
      <c r="K22" s="306" t="s">
        <v>293</v>
      </c>
      <c r="L22" s="317" t="s">
        <v>284</v>
      </c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</row>
    <row r="23" ht="22.5" customHeight="1">
      <c r="B23" s="249">
        <f t="shared" si="2"/>
        <v>19</v>
      </c>
      <c r="C23" s="195" t="s">
        <v>212</v>
      </c>
      <c r="D23" s="178">
        <v>3.22025025E8</v>
      </c>
      <c r="E23" s="195" t="s">
        <v>405</v>
      </c>
      <c r="F23" s="261">
        <v>39248.0</v>
      </c>
      <c r="G23" s="303" t="s">
        <v>406</v>
      </c>
      <c r="H23" s="264">
        <v>5.311362462E9</v>
      </c>
      <c r="I23" s="305" t="s">
        <v>410</v>
      </c>
      <c r="J23" s="305" t="s">
        <v>416</v>
      </c>
      <c r="K23" s="306" t="s">
        <v>293</v>
      </c>
      <c r="L23" s="254" t="s">
        <v>304</v>
      </c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</row>
    <row r="24" ht="22.5" customHeight="1">
      <c r="B24" s="259">
        <f t="shared" si="2"/>
        <v>20</v>
      </c>
      <c r="C24" s="178" t="s">
        <v>105</v>
      </c>
      <c r="D24" s="178">
        <v>3.2202403E8</v>
      </c>
      <c r="E24" s="349"/>
      <c r="F24" s="350"/>
      <c r="G24" s="350"/>
      <c r="H24" s="351"/>
      <c r="I24" s="351"/>
      <c r="J24" s="351"/>
      <c r="K24" s="352"/>
      <c r="L24" s="353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</row>
    <row r="25" ht="22.5" customHeight="1">
      <c r="B25" s="249">
        <f t="shared" si="2"/>
        <v>21</v>
      </c>
      <c r="C25" s="349"/>
      <c r="D25" s="349"/>
      <c r="E25" s="349"/>
      <c r="F25" s="350"/>
      <c r="G25" s="350"/>
      <c r="H25" s="351"/>
      <c r="I25" s="351"/>
      <c r="J25" s="351"/>
      <c r="K25" s="352"/>
      <c r="L25" s="361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</row>
    <row r="26" ht="22.5" customHeight="1">
      <c r="B26" s="259">
        <f>B19+1</f>
        <v>16</v>
      </c>
      <c r="C26" s="349"/>
      <c r="D26" s="349"/>
      <c r="E26" s="349"/>
      <c r="F26" s="350"/>
      <c r="G26" s="350"/>
      <c r="H26" s="351"/>
      <c r="I26" s="351"/>
      <c r="J26" s="351"/>
      <c r="K26" s="352"/>
      <c r="L26" s="353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</row>
    <row r="27" ht="22.5" customHeight="1">
      <c r="B27" s="249">
        <f t="shared" ref="B27:B30" si="3">B26+1</f>
        <v>17</v>
      </c>
      <c r="C27" s="367"/>
      <c r="D27" s="370"/>
      <c r="E27" s="370"/>
      <c r="F27" s="333" t="s">
        <v>506</v>
      </c>
      <c r="G27" s="371"/>
      <c r="H27" s="372"/>
      <c r="I27" s="372"/>
      <c r="J27" s="372"/>
      <c r="K27" s="373"/>
      <c r="L27" s="373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</row>
    <row r="28" ht="22.5" customHeight="1">
      <c r="B28" s="259">
        <f t="shared" si="3"/>
        <v>18</v>
      </c>
      <c r="C28" s="375"/>
      <c r="D28" s="375"/>
      <c r="E28" s="375"/>
      <c r="F28" s="376"/>
      <c r="G28" s="376"/>
      <c r="H28" s="377"/>
      <c r="I28" s="377"/>
      <c r="J28" s="377"/>
      <c r="K28" s="379"/>
      <c r="L28" s="379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</row>
    <row r="29">
      <c r="B29" s="382">
        <f t="shared" si="3"/>
        <v>19</v>
      </c>
      <c r="C29" s="327"/>
      <c r="D29" s="327"/>
      <c r="E29" s="327"/>
      <c r="F29" s="327"/>
      <c r="G29" s="327"/>
      <c r="H29" s="327"/>
      <c r="I29" s="327"/>
      <c r="J29" s="327"/>
      <c r="K29" s="327"/>
      <c r="L29" s="327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</row>
    <row r="30">
      <c r="B30" s="382">
        <f t="shared" si="3"/>
        <v>20</v>
      </c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</row>
    <row r="31">
      <c r="B31" s="235"/>
      <c r="C31" s="384"/>
      <c r="D31" s="385"/>
      <c r="E31" s="384"/>
      <c r="F31" s="386"/>
      <c r="G31" s="386"/>
      <c r="H31" s="386"/>
      <c r="I31" s="386"/>
      <c r="J31" s="386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</row>
    <row r="32"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</row>
    <row r="33"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</row>
    <row r="34">
      <c r="A34" s="388"/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</row>
    <row r="35">
      <c r="A35" s="235"/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</row>
    <row r="36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</row>
    <row r="37">
      <c r="A37" s="235"/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</row>
    <row r="38">
      <c r="A38" s="235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</row>
    <row r="39" ht="22.5" customHeight="1">
      <c r="A39" s="235"/>
      <c r="B39" s="76" t="s">
        <v>63</v>
      </c>
      <c r="C39" s="76" t="s">
        <v>26</v>
      </c>
      <c r="D39" s="76" t="s">
        <v>206</v>
      </c>
      <c r="E39" s="76" t="s">
        <v>552</v>
      </c>
      <c r="F39" s="76" t="s">
        <v>209</v>
      </c>
      <c r="G39" s="76" t="s">
        <v>556</v>
      </c>
      <c r="H39" s="76" t="s">
        <v>557</v>
      </c>
      <c r="I39" s="76" t="s">
        <v>560</v>
      </c>
      <c r="J39" s="76" t="s">
        <v>562</v>
      </c>
      <c r="K39" s="76" t="s">
        <v>215</v>
      </c>
      <c r="L39" s="76" t="s">
        <v>216</v>
      </c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</row>
    <row r="40" ht="22.5" customHeight="1">
      <c r="A40" s="235"/>
      <c r="B40" s="259">
        <v>1.0</v>
      </c>
      <c r="C40" s="195"/>
      <c r="D40" s="394"/>
      <c r="E40" s="195"/>
      <c r="F40" s="395"/>
      <c r="G40" s="395"/>
      <c r="H40" s="264"/>
      <c r="I40" s="264"/>
      <c r="J40" s="264"/>
      <c r="K40" s="361"/>
      <c r="L40" s="266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</row>
    <row r="41" ht="22.5" customHeight="1">
      <c r="A41" s="235"/>
      <c r="B41" s="249">
        <v>2.0</v>
      </c>
      <c r="C41" s="293"/>
      <c r="D41" s="400"/>
      <c r="E41" s="293"/>
      <c r="F41" s="402"/>
      <c r="G41" s="402"/>
      <c r="H41" s="403"/>
      <c r="I41" s="403"/>
      <c r="J41" s="403"/>
      <c r="K41" s="373"/>
      <c r="L41" s="353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  <c r="AA41" s="235"/>
      <c r="AB41" s="235"/>
      <c r="AC41" s="235"/>
    </row>
    <row r="42" ht="22.5" customHeight="1">
      <c r="A42" s="235"/>
      <c r="B42" s="259">
        <v>3.0</v>
      </c>
      <c r="C42" s="195"/>
      <c r="D42" s="394"/>
      <c r="E42" s="195"/>
      <c r="F42" s="375"/>
      <c r="G42" s="375"/>
      <c r="H42" s="375"/>
      <c r="I42" s="375"/>
      <c r="J42" s="375"/>
      <c r="K42" s="404"/>
      <c r="L42" s="404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</row>
    <row r="43" ht="22.5" customHeight="1">
      <c r="A43" s="235"/>
      <c r="B43" s="249">
        <f t="shared" ref="B43:B49" si="4">B42+1</f>
        <v>4</v>
      </c>
      <c r="C43" s="406"/>
      <c r="D43" s="407"/>
      <c r="E43" s="406"/>
      <c r="F43" s="408"/>
      <c r="G43" s="408"/>
      <c r="H43" s="409"/>
      <c r="I43" s="409"/>
      <c r="J43" s="409"/>
      <c r="K43" s="411"/>
      <c r="L43" s="373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</row>
    <row r="44" ht="22.5" customHeight="1">
      <c r="A44" s="235"/>
      <c r="B44" s="259">
        <f t="shared" si="4"/>
        <v>5</v>
      </c>
      <c r="C44" s="349"/>
      <c r="D44" s="349"/>
      <c r="E44" s="349"/>
      <c r="F44" s="349"/>
      <c r="G44" s="349"/>
      <c r="H44" s="349"/>
      <c r="I44" s="349"/>
      <c r="J44" s="349"/>
      <c r="K44" s="404"/>
      <c r="L44" s="404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</row>
    <row r="45" ht="22.5" customHeight="1">
      <c r="A45" s="235"/>
      <c r="B45" s="249">
        <f t="shared" si="4"/>
        <v>6</v>
      </c>
      <c r="C45" s="293"/>
      <c r="D45" s="400"/>
      <c r="E45" s="293"/>
      <c r="F45" s="402"/>
      <c r="G45" s="402"/>
      <c r="H45" s="403"/>
      <c r="I45" s="403"/>
      <c r="J45" s="403"/>
      <c r="K45" s="373"/>
      <c r="L45" s="373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</row>
    <row r="46" ht="22.5" customHeight="1">
      <c r="A46" s="235"/>
      <c r="B46" s="259">
        <f t="shared" si="4"/>
        <v>7</v>
      </c>
      <c r="C46" s="423"/>
      <c r="D46" s="425"/>
      <c r="E46" s="423"/>
      <c r="F46" s="427"/>
      <c r="G46" s="427"/>
      <c r="H46" s="428"/>
      <c r="I46" s="428"/>
      <c r="J46" s="428"/>
      <c r="K46" s="429"/>
      <c r="L46" s="404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</row>
    <row r="47" ht="22.5" customHeight="1">
      <c r="A47" s="235"/>
      <c r="B47" s="249">
        <f t="shared" si="4"/>
        <v>8</v>
      </c>
      <c r="C47" s="370"/>
      <c r="D47" s="370"/>
      <c r="E47" s="370"/>
      <c r="F47" s="370"/>
      <c r="G47" s="370"/>
      <c r="H47" s="370"/>
      <c r="I47" s="370"/>
      <c r="J47" s="370"/>
      <c r="K47" s="430"/>
      <c r="L47" s="430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</row>
    <row r="48" ht="22.5" customHeight="1">
      <c r="A48" s="235"/>
      <c r="B48" s="259">
        <f t="shared" si="4"/>
        <v>9</v>
      </c>
      <c r="C48" s="375"/>
      <c r="D48" s="375"/>
      <c r="E48" s="375"/>
      <c r="F48" s="375"/>
      <c r="G48" s="375"/>
      <c r="H48" s="375"/>
      <c r="I48" s="375"/>
      <c r="J48" s="375"/>
      <c r="K48" s="379"/>
      <c r="L48" s="379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</row>
    <row r="49" ht="22.5" customHeight="1">
      <c r="A49" s="235"/>
      <c r="B49" s="249">
        <f t="shared" si="4"/>
        <v>10</v>
      </c>
      <c r="C49" s="370"/>
      <c r="D49" s="370"/>
      <c r="E49" s="370"/>
      <c r="F49" s="370"/>
      <c r="G49" s="370"/>
      <c r="H49" s="370"/>
      <c r="I49" s="370"/>
      <c r="J49" s="370"/>
      <c r="K49" s="430"/>
      <c r="L49" s="430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</row>
    <row r="50">
      <c r="A50" s="235"/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431"/>
      <c r="S50" s="431"/>
      <c r="T50" s="432"/>
      <c r="U50" s="431"/>
      <c r="V50" s="235"/>
      <c r="W50" s="235"/>
      <c r="X50" s="235"/>
      <c r="Y50" s="235"/>
      <c r="Z50" s="235"/>
      <c r="AA50" s="235"/>
      <c r="AB50" s="235"/>
      <c r="AC50" s="235"/>
    </row>
    <row r="51">
      <c r="A51" s="235"/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433"/>
      <c r="S51" s="433"/>
      <c r="T51" s="432"/>
      <c r="U51" s="434"/>
      <c r="V51" s="235"/>
      <c r="W51" s="235"/>
      <c r="X51" s="235"/>
      <c r="Y51" s="235"/>
      <c r="Z51" s="235"/>
      <c r="AA51" s="235"/>
      <c r="AB51" s="235"/>
      <c r="AC51" s="235"/>
    </row>
    <row r="52">
      <c r="A52" s="235"/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435"/>
      <c r="S52" s="433"/>
      <c r="T52" s="432"/>
      <c r="U52" s="434"/>
      <c r="V52" s="235"/>
      <c r="W52" s="235"/>
      <c r="X52" s="235"/>
      <c r="Y52" s="235"/>
      <c r="Z52" s="235"/>
      <c r="AA52" s="235"/>
      <c r="AB52" s="235"/>
      <c r="AC52" s="235"/>
    </row>
    <row r="53" ht="22.5" customHeight="1">
      <c r="A53" s="235"/>
      <c r="B53" s="76" t="s">
        <v>63</v>
      </c>
      <c r="C53" s="76" t="s">
        <v>26</v>
      </c>
      <c r="D53" s="76" t="s">
        <v>206</v>
      </c>
      <c r="E53" s="76" t="s">
        <v>552</v>
      </c>
      <c r="F53" s="76" t="s">
        <v>209</v>
      </c>
      <c r="G53" s="76" t="s">
        <v>556</v>
      </c>
      <c r="H53" s="76" t="s">
        <v>557</v>
      </c>
      <c r="I53" s="76" t="s">
        <v>560</v>
      </c>
      <c r="J53" s="76" t="s">
        <v>562</v>
      </c>
      <c r="K53" s="76" t="s">
        <v>215</v>
      </c>
      <c r="L53" s="76" t="s">
        <v>216</v>
      </c>
      <c r="N53" s="235"/>
      <c r="O53" s="235"/>
      <c r="P53" s="235"/>
      <c r="Q53" s="235"/>
      <c r="T53" s="432"/>
      <c r="U53" s="434"/>
      <c r="V53" s="235"/>
      <c r="W53" s="235"/>
      <c r="X53" s="235"/>
      <c r="Y53" s="235"/>
      <c r="Z53" s="235"/>
      <c r="AA53" s="235"/>
      <c r="AB53" s="235"/>
      <c r="AC53" s="235"/>
    </row>
    <row r="54" ht="22.5" customHeight="1">
      <c r="A54" s="235"/>
      <c r="B54" s="259">
        <v>1.0</v>
      </c>
      <c r="C54" s="293"/>
      <c r="D54" s="400"/>
      <c r="E54" s="293"/>
      <c r="F54" s="436"/>
      <c r="G54" s="436"/>
      <c r="H54" s="403"/>
      <c r="I54" s="403"/>
      <c r="J54" s="403"/>
      <c r="K54" s="353"/>
      <c r="L54" s="353"/>
      <c r="N54" s="235"/>
      <c r="O54" s="235"/>
      <c r="P54" s="235"/>
      <c r="Q54" s="235"/>
      <c r="R54" s="433"/>
      <c r="S54" s="433"/>
      <c r="T54" s="432"/>
      <c r="U54" s="434"/>
      <c r="V54" s="235"/>
      <c r="W54" s="235"/>
      <c r="X54" s="235"/>
      <c r="Y54" s="235"/>
      <c r="Z54" s="235"/>
      <c r="AA54" s="235"/>
      <c r="AB54" s="235"/>
      <c r="AC54" s="235"/>
    </row>
    <row r="55" ht="22.5" customHeight="1">
      <c r="A55" s="235"/>
      <c r="B55" s="249">
        <v>2.0</v>
      </c>
      <c r="C55" s="293"/>
      <c r="D55" s="400"/>
      <c r="E55" s="293"/>
      <c r="F55" s="402"/>
      <c r="G55" s="402"/>
      <c r="H55" s="403"/>
      <c r="I55" s="403"/>
      <c r="J55" s="403"/>
      <c r="K55" s="373"/>
      <c r="L55" s="373"/>
      <c r="N55" s="235"/>
      <c r="O55" s="235"/>
      <c r="P55" s="235"/>
      <c r="Q55" s="235"/>
      <c r="R55" s="433"/>
      <c r="S55" s="433"/>
      <c r="T55" s="432"/>
      <c r="U55" s="434"/>
      <c r="V55" s="235"/>
      <c r="W55" s="235"/>
      <c r="X55" s="235"/>
      <c r="Y55" s="235"/>
      <c r="Z55" s="235"/>
      <c r="AA55" s="235"/>
      <c r="AB55" s="235"/>
      <c r="AC55" s="235"/>
    </row>
    <row r="56" ht="22.5" customHeight="1">
      <c r="A56" s="235"/>
      <c r="B56" s="259">
        <v>3.0</v>
      </c>
      <c r="C56" s="437"/>
      <c r="D56" s="394"/>
      <c r="E56" s="195"/>
      <c r="F56" s="395"/>
      <c r="G56" s="395"/>
      <c r="H56" s="264"/>
      <c r="I56" s="264"/>
      <c r="J56" s="264"/>
      <c r="K56" s="404"/>
      <c r="L56" s="404"/>
      <c r="N56" s="235"/>
      <c r="O56" s="235"/>
      <c r="P56" s="235"/>
      <c r="Q56" s="235"/>
      <c r="R56" s="435"/>
      <c r="S56" s="433"/>
      <c r="T56" s="432"/>
      <c r="U56" s="434"/>
      <c r="V56" s="235"/>
      <c r="W56" s="235"/>
      <c r="X56" s="235"/>
      <c r="Y56" s="235"/>
      <c r="Z56" s="235"/>
      <c r="AA56" s="235"/>
      <c r="AB56" s="235"/>
      <c r="AC56" s="235"/>
    </row>
    <row r="57" ht="22.5" customHeight="1">
      <c r="A57" s="235"/>
      <c r="B57" s="249">
        <f t="shared" ref="B57:B63" si="5">B56+1</f>
        <v>4</v>
      </c>
      <c r="C57" s="370"/>
      <c r="D57" s="370"/>
      <c r="E57" s="370"/>
      <c r="F57" s="438"/>
      <c r="G57" s="438"/>
      <c r="H57" s="372"/>
      <c r="I57" s="372"/>
      <c r="J57" s="372"/>
      <c r="K57" s="430"/>
      <c r="L57" s="430"/>
      <c r="N57" s="235"/>
      <c r="O57" s="235"/>
      <c r="P57" s="235"/>
      <c r="Q57" s="235"/>
      <c r="R57" s="435"/>
      <c r="S57" s="433"/>
      <c r="T57" s="432"/>
      <c r="U57" s="434"/>
      <c r="V57" s="235"/>
      <c r="W57" s="235"/>
      <c r="X57" s="235"/>
      <c r="Y57" s="235"/>
      <c r="Z57" s="235"/>
      <c r="AA57" s="235"/>
      <c r="AB57" s="235"/>
      <c r="AC57" s="235"/>
    </row>
    <row r="58" ht="22.5" customHeight="1">
      <c r="A58" s="235"/>
      <c r="B58" s="259">
        <f t="shared" si="5"/>
        <v>5</v>
      </c>
      <c r="C58" s="375"/>
      <c r="D58" s="375"/>
      <c r="E58" s="375"/>
      <c r="F58" s="439"/>
      <c r="G58" s="439"/>
      <c r="H58" s="377"/>
      <c r="I58" s="377"/>
      <c r="J58" s="377"/>
      <c r="K58" s="379"/>
      <c r="L58" s="379"/>
      <c r="N58" s="235"/>
      <c r="O58" s="235"/>
      <c r="P58" s="235"/>
      <c r="Q58" s="235"/>
      <c r="R58" s="435"/>
      <c r="S58" s="433"/>
      <c r="T58" s="432"/>
      <c r="U58" s="434"/>
      <c r="V58" s="235"/>
      <c r="W58" s="235"/>
      <c r="X58" s="235"/>
      <c r="Y58" s="235"/>
      <c r="Z58" s="235"/>
      <c r="AA58" s="235"/>
      <c r="AB58" s="235"/>
      <c r="AC58" s="235"/>
    </row>
    <row r="59" ht="22.5" customHeight="1">
      <c r="A59" s="235"/>
      <c r="B59" s="249">
        <f t="shared" si="5"/>
        <v>6</v>
      </c>
      <c r="C59" s="370"/>
      <c r="D59" s="370"/>
      <c r="E59" s="370"/>
      <c r="F59" s="370"/>
      <c r="G59" s="370"/>
      <c r="H59" s="370"/>
      <c r="I59" s="370"/>
      <c r="J59" s="370"/>
      <c r="K59" s="430"/>
      <c r="L59" s="430"/>
      <c r="N59" s="235"/>
      <c r="O59" s="235"/>
      <c r="P59" s="235"/>
      <c r="Q59" s="235"/>
      <c r="R59" s="435"/>
      <c r="S59" s="433"/>
      <c r="T59" s="432"/>
      <c r="U59" s="434"/>
      <c r="V59" s="235"/>
      <c r="W59" s="235"/>
      <c r="X59" s="235"/>
      <c r="Y59" s="235"/>
      <c r="Z59" s="235"/>
      <c r="AA59" s="235"/>
      <c r="AB59" s="235"/>
      <c r="AC59" s="235"/>
    </row>
    <row r="60" ht="22.5" customHeight="1">
      <c r="A60" s="235"/>
      <c r="B60" s="259">
        <f t="shared" si="5"/>
        <v>7</v>
      </c>
      <c r="C60" s="375"/>
      <c r="D60" s="375"/>
      <c r="E60" s="375"/>
      <c r="F60" s="440"/>
      <c r="G60" s="440"/>
      <c r="H60" s="377"/>
      <c r="I60" s="377"/>
      <c r="J60" s="377"/>
      <c r="K60" s="379"/>
      <c r="L60" s="379"/>
      <c r="N60" s="235"/>
      <c r="O60" s="235"/>
      <c r="P60" s="235"/>
      <c r="Q60" s="235"/>
      <c r="R60" s="435"/>
      <c r="S60" s="433"/>
      <c r="T60" s="432"/>
      <c r="U60" s="434"/>
      <c r="V60" s="235"/>
      <c r="W60" s="235"/>
      <c r="X60" s="235"/>
      <c r="Y60" s="235"/>
      <c r="Z60" s="235"/>
      <c r="AA60" s="235"/>
      <c r="AB60" s="235"/>
      <c r="AC60" s="235"/>
    </row>
    <row r="61" ht="22.5" customHeight="1">
      <c r="A61" s="235"/>
      <c r="B61" s="249">
        <f t="shared" si="5"/>
        <v>8</v>
      </c>
      <c r="C61" s="370"/>
      <c r="D61" s="370"/>
      <c r="E61" s="370"/>
      <c r="F61" s="441"/>
      <c r="G61" s="441"/>
      <c r="H61" s="372"/>
      <c r="I61" s="372"/>
      <c r="J61" s="372"/>
      <c r="K61" s="430"/>
      <c r="L61" s="430"/>
      <c r="N61" s="235"/>
      <c r="O61" s="235"/>
      <c r="P61" s="235"/>
      <c r="Q61" s="235"/>
      <c r="R61" s="435"/>
      <c r="S61" s="435"/>
      <c r="T61" s="432"/>
      <c r="U61" s="434"/>
      <c r="V61" s="235"/>
      <c r="W61" s="235"/>
      <c r="X61" s="235"/>
      <c r="Y61" s="235"/>
      <c r="Z61" s="235"/>
      <c r="AA61" s="235"/>
      <c r="AB61" s="235"/>
      <c r="AC61" s="235"/>
    </row>
    <row r="62" ht="22.5" customHeight="1">
      <c r="A62" s="235"/>
      <c r="B62" s="259">
        <f t="shared" si="5"/>
        <v>9</v>
      </c>
      <c r="C62" s="375"/>
      <c r="D62" s="375"/>
      <c r="E62" s="375"/>
      <c r="F62" s="439"/>
      <c r="G62" s="439"/>
      <c r="H62" s="377"/>
      <c r="I62" s="377"/>
      <c r="J62" s="377"/>
      <c r="K62" s="379"/>
      <c r="L62" s="379"/>
      <c r="N62" s="235"/>
      <c r="O62" s="235"/>
      <c r="P62" s="235"/>
      <c r="Q62" s="235"/>
      <c r="R62" s="435"/>
      <c r="S62" s="435"/>
      <c r="T62" s="432"/>
      <c r="U62" s="434"/>
      <c r="V62" s="235"/>
      <c r="W62" s="235"/>
      <c r="X62" s="235"/>
      <c r="Y62" s="235"/>
      <c r="Z62" s="235"/>
      <c r="AA62" s="235"/>
      <c r="AB62" s="235"/>
      <c r="AC62" s="235"/>
    </row>
    <row r="63" ht="22.5" customHeight="1">
      <c r="A63" s="235"/>
      <c r="B63" s="249">
        <f t="shared" si="5"/>
        <v>10</v>
      </c>
      <c r="C63" s="370"/>
      <c r="D63" s="370"/>
      <c r="E63" s="370"/>
      <c r="F63" s="438"/>
      <c r="G63" s="438"/>
      <c r="H63" s="372"/>
      <c r="I63" s="372"/>
      <c r="J63" s="372"/>
      <c r="K63" s="430"/>
      <c r="L63" s="430"/>
      <c r="M63" s="235"/>
      <c r="N63" s="235"/>
      <c r="O63" s="235"/>
      <c r="P63" s="235"/>
      <c r="Q63" s="235"/>
      <c r="R63" s="435"/>
      <c r="S63" s="435"/>
      <c r="T63" s="432"/>
      <c r="U63" s="434"/>
      <c r="V63" s="235"/>
      <c r="W63" s="235"/>
      <c r="X63" s="235"/>
      <c r="Y63" s="235"/>
      <c r="Z63" s="235"/>
      <c r="AA63" s="235"/>
      <c r="AB63" s="235"/>
      <c r="AC63" s="235"/>
    </row>
    <row r="64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435"/>
      <c r="S64" s="435"/>
      <c r="T64" s="432"/>
      <c r="U64" s="434"/>
      <c r="V64" s="235"/>
      <c r="W64" s="235"/>
      <c r="X64" s="235"/>
      <c r="Y64" s="235"/>
      <c r="Z64" s="235"/>
      <c r="AA64" s="235"/>
      <c r="AB64" s="235"/>
      <c r="AC64" s="235"/>
    </row>
    <row r="65">
      <c r="A65" s="235"/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435"/>
      <c r="S65" s="435"/>
      <c r="T65" s="432"/>
      <c r="U65" s="434"/>
      <c r="V65" s="235"/>
      <c r="W65" s="235"/>
      <c r="X65" s="235"/>
      <c r="Y65" s="235"/>
      <c r="Z65" s="235"/>
      <c r="AA65" s="235"/>
      <c r="AB65" s="235"/>
      <c r="AC65" s="235"/>
    </row>
    <row r="66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435"/>
      <c r="S66" s="435"/>
      <c r="T66" s="432"/>
      <c r="U66" s="434"/>
      <c r="V66" s="235"/>
      <c r="W66" s="235"/>
      <c r="X66" s="235"/>
      <c r="Y66" s="235"/>
      <c r="Z66" s="235"/>
      <c r="AA66" s="235"/>
      <c r="AB66" s="235"/>
      <c r="AC66" s="235"/>
    </row>
    <row r="67">
      <c r="A67" s="235"/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435"/>
      <c r="S67" s="435"/>
      <c r="T67" s="432"/>
      <c r="U67" s="434"/>
      <c r="V67" s="235"/>
      <c r="W67" s="235"/>
      <c r="X67" s="235"/>
      <c r="Y67" s="235"/>
      <c r="Z67" s="235"/>
      <c r="AA67" s="235"/>
      <c r="AB67" s="235"/>
      <c r="AC67" s="235"/>
    </row>
    <row r="68">
      <c r="A68" s="235"/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435"/>
      <c r="S68" s="435"/>
      <c r="T68" s="432"/>
      <c r="U68" s="434"/>
      <c r="V68" s="235"/>
      <c r="W68" s="235"/>
      <c r="X68" s="235"/>
      <c r="Y68" s="235"/>
      <c r="Z68" s="235"/>
      <c r="AA68" s="235"/>
      <c r="AB68" s="235"/>
      <c r="AC68" s="235"/>
    </row>
    <row r="69" ht="22.5" customHeight="1">
      <c r="A69" s="235"/>
      <c r="B69" s="76" t="s">
        <v>63</v>
      </c>
      <c r="C69" s="76" t="s">
        <v>26</v>
      </c>
      <c r="D69" s="76" t="s">
        <v>206</v>
      </c>
      <c r="E69" s="76" t="s">
        <v>552</v>
      </c>
      <c r="F69" s="76" t="s">
        <v>209</v>
      </c>
      <c r="G69" s="76" t="s">
        <v>556</v>
      </c>
      <c r="H69" s="76" t="s">
        <v>557</v>
      </c>
      <c r="I69" s="76" t="s">
        <v>560</v>
      </c>
      <c r="J69" s="76" t="s">
        <v>562</v>
      </c>
      <c r="K69" s="76" t="s">
        <v>215</v>
      </c>
      <c r="L69" s="76" t="s">
        <v>216</v>
      </c>
      <c r="N69" s="235"/>
      <c r="O69" s="235"/>
      <c r="P69" s="235"/>
      <c r="Q69" s="235"/>
      <c r="R69" s="435"/>
      <c r="S69" s="435"/>
      <c r="T69" s="432"/>
      <c r="U69" s="434"/>
      <c r="V69" s="235"/>
      <c r="W69" s="235"/>
      <c r="X69" s="235"/>
      <c r="Y69" s="235"/>
      <c r="Z69" s="235"/>
      <c r="AA69" s="235"/>
      <c r="AB69" s="235"/>
      <c r="AC69" s="235"/>
    </row>
    <row r="70" ht="22.5" customHeight="1">
      <c r="A70" s="235"/>
      <c r="B70" s="259">
        <v>1.0</v>
      </c>
      <c r="C70" s="293"/>
      <c r="D70" s="400"/>
      <c r="E70" s="293"/>
      <c r="F70" s="402"/>
      <c r="G70" s="402"/>
      <c r="H70" s="403"/>
      <c r="I70" s="403"/>
      <c r="J70" s="403"/>
      <c r="K70" s="373"/>
      <c r="L70" s="353"/>
      <c r="N70" s="235"/>
      <c r="O70" s="235"/>
      <c r="P70" s="235"/>
      <c r="Q70" s="235"/>
      <c r="R70" s="435"/>
      <c r="S70" s="435"/>
      <c r="T70" s="432"/>
      <c r="U70" s="434"/>
      <c r="V70" s="235"/>
      <c r="W70" s="235"/>
      <c r="X70" s="235"/>
      <c r="Y70" s="235"/>
      <c r="Z70" s="235"/>
      <c r="AA70" s="235"/>
      <c r="AB70" s="235"/>
      <c r="AC70" s="235"/>
    </row>
    <row r="71" ht="22.5" customHeight="1">
      <c r="A71" s="235"/>
      <c r="B71" s="249">
        <v>2.0</v>
      </c>
      <c r="C71" s="195"/>
      <c r="D71" s="394"/>
      <c r="E71" s="195"/>
      <c r="F71" s="442"/>
      <c r="G71" s="442"/>
      <c r="H71" s="264"/>
      <c r="I71" s="264"/>
      <c r="J71" s="264"/>
      <c r="K71" s="404"/>
      <c r="L71" s="361"/>
      <c r="N71" s="235"/>
      <c r="O71" s="235"/>
      <c r="P71" s="235"/>
      <c r="Q71" s="235"/>
      <c r="R71" s="435"/>
      <c r="S71" s="435"/>
      <c r="T71" s="432"/>
      <c r="U71" s="434"/>
      <c r="V71" s="235"/>
      <c r="W71" s="235"/>
      <c r="X71" s="235"/>
      <c r="Y71" s="235"/>
      <c r="Z71" s="235"/>
      <c r="AA71" s="235"/>
      <c r="AB71" s="235"/>
      <c r="AC71" s="235"/>
    </row>
    <row r="72" ht="22.5" customHeight="1">
      <c r="A72" s="235"/>
      <c r="B72" s="259">
        <v>3.0</v>
      </c>
      <c r="C72" s="293"/>
      <c r="D72" s="400"/>
      <c r="E72" s="293"/>
      <c r="F72" s="436"/>
      <c r="G72" s="436"/>
      <c r="H72" s="403"/>
      <c r="I72" s="403"/>
      <c r="J72" s="403"/>
      <c r="K72" s="373"/>
      <c r="L72" s="373"/>
      <c r="N72" s="235"/>
      <c r="O72" s="235"/>
      <c r="P72" s="235"/>
      <c r="Q72" s="235"/>
      <c r="R72" s="435"/>
      <c r="S72" s="435"/>
      <c r="T72" s="432"/>
      <c r="U72" s="434"/>
      <c r="V72" s="235"/>
      <c r="W72" s="235"/>
      <c r="X72" s="235"/>
      <c r="Y72" s="235"/>
      <c r="Z72" s="235"/>
      <c r="AA72" s="235"/>
      <c r="AB72" s="235"/>
      <c r="AC72" s="235"/>
    </row>
    <row r="73" ht="22.5" customHeight="1">
      <c r="A73" s="235"/>
      <c r="B73" s="249">
        <f t="shared" ref="B73:B79" si="6">B72+1</f>
        <v>4</v>
      </c>
      <c r="C73" s="178"/>
      <c r="D73" s="178"/>
      <c r="E73" s="178"/>
      <c r="F73" s="443"/>
      <c r="G73" s="443"/>
      <c r="H73" s="444"/>
      <c r="I73" s="444"/>
      <c r="J73" s="444"/>
      <c r="K73" s="445"/>
      <c r="L73" s="445"/>
      <c r="N73" s="235"/>
      <c r="O73" s="235"/>
      <c r="P73" s="235"/>
      <c r="Q73" s="235"/>
      <c r="R73" s="435"/>
      <c r="S73" s="435"/>
      <c r="T73" s="432"/>
      <c r="U73" s="434"/>
      <c r="V73" s="235"/>
      <c r="W73" s="235"/>
      <c r="X73" s="235"/>
      <c r="Y73" s="235"/>
      <c r="Z73" s="235"/>
      <c r="AA73" s="235"/>
      <c r="AB73" s="235"/>
      <c r="AC73" s="235"/>
    </row>
    <row r="74" ht="22.5" customHeight="1">
      <c r="A74" s="235"/>
      <c r="B74" s="259">
        <f t="shared" si="6"/>
        <v>5</v>
      </c>
      <c r="C74" s="178"/>
      <c r="D74" s="178"/>
      <c r="E74" s="178"/>
      <c r="F74" s="446"/>
      <c r="G74" s="446"/>
      <c r="H74" s="444"/>
      <c r="I74" s="444"/>
      <c r="J74" s="444"/>
      <c r="K74" s="445"/>
      <c r="L74" s="445"/>
      <c r="N74" s="235"/>
      <c r="O74" s="235"/>
      <c r="P74" s="235"/>
      <c r="Q74" s="235"/>
      <c r="R74" s="435"/>
      <c r="S74" s="435"/>
      <c r="T74" s="432"/>
      <c r="U74" s="434"/>
      <c r="V74" s="235"/>
      <c r="W74" s="235"/>
      <c r="X74" s="235"/>
      <c r="Y74" s="235"/>
      <c r="Z74" s="235"/>
      <c r="AA74" s="235"/>
      <c r="AB74" s="235"/>
      <c r="AC74" s="235"/>
    </row>
    <row r="75" ht="22.5" customHeight="1">
      <c r="A75" s="235"/>
      <c r="B75" s="249">
        <f t="shared" si="6"/>
        <v>6</v>
      </c>
      <c r="C75" s="100"/>
      <c r="D75" s="349"/>
      <c r="E75" s="349"/>
      <c r="F75" s="349"/>
      <c r="G75" s="349"/>
      <c r="H75" s="349"/>
      <c r="I75" s="349"/>
      <c r="J75" s="349"/>
      <c r="K75" s="352"/>
      <c r="L75" s="352"/>
      <c r="N75" s="235"/>
      <c r="O75" s="235"/>
      <c r="P75" s="235"/>
      <c r="Q75" s="235"/>
      <c r="R75" s="435"/>
      <c r="S75" s="435"/>
      <c r="T75" s="432"/>
      <c r="U75" s="434"/>
      <c r="V75" s="235"/>
      <c r="W75" s="235"/>
      <c r="X75" s="235"/>
      <c r="Y75" s="235"/>
      <c r="Z75" s="235"/>
      <c r="AA75" s="235"/>
      <c r="AB75" s="235"/>
      <c r="AC75" s="235"/>
    </row>
    <row r="76" ht="22.5" customHeight="1">
      <c r="A76" s="235"/>
      <c r="B76" s="259">
        <f t="shared" si="6"/>
        <v>7</v>
      </c>
      <c r="C76" s="153"/>
      <c r="D76" s="375"/>
      <c r="E76" s="375"/>
      <c r="F76" s="440"/>
      <c r="G76" s="440"/>
      <c r="H76" s="377"/>
      <c r="I76" s="377"/>
      <c r="J76" s="377"/>
      <c r="K76" s="379"/>
      <c r="L76" s="379"/>
      <c r="N76" s="235"/>
      <c r="O76" s="235"/>
      <c r="P76" s="235"/>
      <c r="Q76" s="235"/>
      <c r="R76" s="435"/>
      <c r="S76" s="435"/>
      <c r="T76" s="432"/>
      <c r="U76" s="434"/>
      <c r="V76" s="235"/>
      <c r="W76" s="235"/>
      <c r="X76" s="235"/>
      <c r="Y76" s="235"/>
      <c r="Z76" s="235"/>
      <c r="AA76" s="235"/>
      <c r="AB76" s="235"/>
      <c r="AC76" s="235"/>
    </row>
    <row r="77" ht="22.5" customHeight="1">
      <c r="A77" s="235"/>
      <c r="B77" s="249">
        <f t="shared" si="6"/>
        <v>8</v>
      </c>
      <c r="C77" s="153"/>
      <c r="D77" s="370"/>
      <c r="E77" s="370"/>
      <c r="F77" s="441"/>
      <c r="G77" s="441"/>
      <c r="H77" s="372"/>
      <c r="I77" s="372"/>
      <c r="J77" s="372"/>
      <c r="K77" s="430"/>
      <c r="L77" s="430"/>
      <c r="N77" s="235"/>
      <c r="O77" s="235"/>
      <c r="P77" s="235"/>
      <c r="Q77" s="235"/>
      <c r="R77" s="435"/>
      <c r="S77" s="435"/>
      <c r="T77" s="432"/>
      <c r="U77" s="434"/>
      <c r="V77" s="235"/>
      <c r="W77" s="235"/>
      <c r="X77" s="235"/>
      <c r="Y77" s="235"/>
      <c r="Z77" s="235"/>
      <c r="AA77" s="235"/>
      <c r="AB77" s="235"/>
      <c r="AC77" s="235"/>
    </row>
    <row r="78" ht="22.5" customHeight="1">
      <c r="A78" s="235"/>
      <c r="B78" s="259">
        <f t="shared" si="6"/>
        <v>9</v>
      </c>
      <c r="C78" s="375"/>
      <c r="D78" s="375"/>
      <c r="E78" s="375"/>
      <c r="F78" s="439"/>
      <c r="G78" s="439"/>
      <c r="H78" s="377"/>
      <c r="I78" s="377"/>
      <c r="J78" s="377"/>
      <c r="K78" s="379"/>
      <c r="L78" s="379"/>
      <c r="N78" s="235"/>
      <c r="O78" s="235"/>
      <c r="P78" s="235"/>
      <c r="Q78" s="235"/>
      <c r="R78" s="435"/>
      <c r="S78" s="435"/>
      <c r="T78" s="432"/>
      <c r="U78" s="434"/>
      <c r="V78" s="235"/>
      <c r="W78" s="235"/>
      <c r="X78" s="235"/>
      <c r="Y78" s="235"/>
      <c r="Z78" s="235"/>
      <c r="AA78" s="235"/>
      <c r="AB78" s="235"/>
      <c r="AC78" s="235"/>
    </row>
    <row r="79" ht="22.5" customHeight="1">
      <c r="A79" s="235"/>
      <c r="B79" s="249">
        <f t="shared" si="6"/>
        <v>10</v>
      </c>
      <c r="C79" s="370"/>
      <c r="D79" s="370"/>
      <c r="E79" s="370"/>
      <c r="F79" s="438"/>
      <c r="G79" s="438"/>
      <c r="H79" s="372"/>
      <c r="I79" s="372"/>
      <c r="J79" s="372"/>
      <c r="K79" s="430"/>
      <c r="L79" s="430"/>
      <c r="M79" s="235"/>
      <c r="N79" s="235"/>
      <c r="O79" s="235"/>
      <c r="P79" s="235"/>
      <c r="Q79" s="235"/>
      <c r="R79" s="435"/>
      <c r="S79" s="435"/>
      <c r="T79" s="432"/>
      <c r="U79" s="434"/>
      <c r="V79" s="235"/>
      <c r="W79" s="235"/>
      <c r="X79" s="235"/>
      <c r="Y79" s="235"/>
      <c r="Z79" s="235"/>
      <c r="AA79" s="235"/>
      <c r="AB79" s="235"/>
      <c r="AC79" s="235"/>
    </row>
    <row r="80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435"/>
      <c r="S80" s="435"/>
      <c r="T80" s="432"/>
      <c r="U80" s="434"/>
      <c r="V80" s="235"/>
      <c r="W80" s="235"/>
      <c r="X80" s="235"/>
      <c r="Y80" s="235"/>
      <c r="Z80" s="235"/>
      <c r="AA80" s="235"/>
      <c r="AB80" s="235"/>
      <c r="AC80" s="235"/>
    </row>
    <row r="8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235"/>
      <c r="AC81" s="235"/>
    </row>
    <row r="82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</row>
    <row r="83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</row>
    <row r="84" ht="22.5" customHeight="1">
      <c r="A84" s="235"/>
      <c r="B84" s="76" t="s">
        <v>63</v>
      </c>
      <c r="C84" s="76" t="s">
        <v>26</v>
      </c>
      <c r="D84" s="76" t="s">
        <v>206</v>
      </c>
      <c r="E84" s="76" t="s">
        <v>552</v>
      </c>
      <c r="F84" s="76" t="s">
        <v>209</v>
      </c>
      <c r="G84" s="76" t="s">
        <v>556</v>
      </c>
      <c r="H84" s="76" t="s">
        <v>557</v>
      </c>
      <c r="I84" s="76" t="s">
        <v>560</v>
      </c>
      <c r="J84" s="76" t="s">
        <v>562</v>
      </c>
      <c r="K84" s="76" t="s">
        <v>215</v>
      </c>
      <c r="L84" s="76" t="s">
        <v>634</v>
      </c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</row>
    <row r="85" ht="22.5" customHeight="1">
      <c r="A85" s="235"/>
      <c r="B85" s="259">
        <v>1.0</v>
      </c>
      <c r="C85" s="293"/>
      <c r="D85" s="400"/>
      <c r="E85" s="293"/>
      <c r="F85" s="402"/>
      <c r="G85" s="402"/>
      <c r="H85" s="403"/>
      <c r="I85" s="403"/>
      <c r="J85" s="403"/>
      <c r="K85" s="373"/>
      <c r="L85" s="353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</row>
    <row r="86" ht="22.5" customHeight="1">
      <c r="A86" s="235"/>
      <c r="B86" s="249">
        <v>2.0</v>
      </c>
      <c r="C86" s="195"/>
      <c r="D86" s="394"/>
      <c r="E86" s="195"/>
      <c r="F86" s="442"/>
      <c r="G86" s="442"/>
      <c r="H86" s="264"/>
      <c r="I86" s="264"/>
      <c r="J86" s="264"/>
      <c r="K86" s="404"/>
      <c r="L86" s="361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</row>
    <row r="87" ht="22.5" customHeight="1">
      <c r="A87" s="235"/>
      <c r="B87" s="259">
        <v>3.0</v>
      </c>
      <c r="C87" s="293"/>
      <c r="D87" s="400"/>
      <c r="E87" s="293"/>
      <c r="F87" s="436"/>
      <c r="G87" s="436"/>
      <c r="H87" s="403"/>
      <c r="I87" s="403"/>
      <c r="J87" s="403"/>
      <c r="K87" s="373"/>
      <c r="L87" s="373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</row>
    <row r="88" ht="22.5" customHeight="1">
      <c r="A88" s="235"/>
      <c r="B88" s="249">
        <f t="shared" ref="B88:B94" si="7">B87+1</f>
        <v>4</v>
      </c>
      <c r="C88" s="178"/>
      <c r="D88" s="178"/>
      <c r="E88" s="178"/>
      <c r="F88" s="443"/>
      <c r="G88" s="443"/>
      <c r="H88" s="444"/>
      <c r="I88" s="444"/>
      <c r="J88" s="444"/>
      <c r="K88" s="445"/>
      <c r="L88" s="44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</row>
    <row r="89" ht="22.5" customHeight="1">
      <c r="A89" s="235"/>
      <c r="B89" s="259">
        <f t="shared" si="7"/>
        <v>5</v>
      </c>
      <c r="C89" s="178"/>
      <c r="D89" s="178"/>
      <c r="E89" s="178"/>
      <c r="F89" s="446"/>
      <c r="G89" s="446"/>
      <c r="H89" s="444"/>
      <c r="I89" s="444"/>
      <c r="J89" s="444"/>
      <c r="K89" s="445"/>
      <c r="L89" s="44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</row>
    <row r="90" ht="22.5" customHeight="1">
      <c r="A90" s="235"/>
      <c r="B90" s="249">
        <f t="shared" si="7"/>
        <v>6</v>
      </c>
      <c r="C90" s="100"/>
      <c r="D90" s="349"/>
      <c r="E90" s="349"/>
      <c r="F90" s="349"/>
      <c r="G90" s="349"/>
      <c r="H90" s="349"/>
      <c r="I90" s="349"/>
      <c r="J90" s="349"/>
      <c r="K90" s="352"/>
      <c r="L90" s="352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  <c r="AA90" s="235"/>
      <c r="AB90" s="235"/>
      <c r="AC90" s="235"/>
    </row>
    <row r="91" ht="22.5" customHeight="1">
      <c r="A91" s="235"/>
      <c r="B91" s="259">
        <f t="shared" si="7"/>
        <v>7</v>
      </c>
      <c r="C91" s="153"/>
      <c r="D91" s="375"/>
      <c r="E91" s="375"/>
      <c r="F91" s="440"/>
      <c r="G91" s="440"/>
      <c r="H91" s="377"/>
      <c r="I91" s="377"/>
      <c r="J91" s="377"/>
      <c r="K91" s="379"/>
      <c r="L91" s="379"/>
      <c r="M91" s="235"/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  <c r="AA91" s="235"/>
      <c r="AB91" s="235"/>
      <c r="AC91" s="235"/>
    </row>
    <row r="92" ht="22.5" customHeight="1">
      <c r="A92" s="235"/>
      <c r="B92" s="249">
        <f t="shared" si="7"/>
        <v>8</v>
      </c>
      <c r="C92" s="153"/>
      <c r="D92" s="370"/>
      <c r="E92" s="370"/>
      <c r="F92" s="441"/>
      <c r="G92" s="441"/>
      <c r="H92" s="372"/>
      <c r="I92" s="372"/>
      <c r="J92" s="372"/>
      <c r="K92" s="430"/>
      <c r="L92" s="430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</row>
    <row r="93" ht="22.5" customHeight="1">
      <c r="A93" s="235"/>
      <c r="B93" s="259">
        <f t="shared" si="7"/>
        <v>9</v>
      </c>
      <c r="C93" s="375"/>
      <c r="D93" s="375"/>
      <c r="E93" s="375"/>
      <c r="F93" s="439"/>
      <c r="G93" s="439"/>
      <c r="H93" s="377"/>
      <c r="I93" s="377"/>
      <c r="J93" s="377"/>
      <c r="K93" s="379"/>
      <c r="L93" s="379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35"/>
    </row>
    <row r="94" ht="22.5" customHeight="1">
      <c r="A94" s="235"/>
      <c r="B94" s="249">
        <f t="shared" si="7"/>
        <v>10</v>
      </c>
      <c r="C94" s="370"/>
      <c r="D94" s="370"/>
      <c r="E94" s="370"/>
      <c r="F94" s="438"/>
      <c r="G94" s="438"/>
      <c r="H94" s="372"/>
      <c r="I94" s="372"/>
      <c r="J94" s="372"/>
      <c r="K94" s="430"/>
      <c r="L94" s="430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  <c r="AA94" s="235"/>
      <c r="AB94" s="235"/>
      <c r="AC94" s="235"/>
    </row>
    <row r="95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447"/>
      <c r="W95" s="235"/>
      <c r="X95" s="235"/>
      <c r="Y95" s="235"/>
      <c r="Z95" s="235"/>
      <c r="AA95" s="235"/>
      <c r="AB95" s="235"/>
      <c r="AC95" s="235"/>
    </row>
    <row r="96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  <c r="AA96" s="235"/>
      <c r="AB96" s="235"/>
      <c r="AC96" s="235"/>
    </row>
    <row r="97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  <c r="AA97" s="235"/>
      <c r="AB97" s="235"/>
      <c r="AC97" s="235"/>
    </row>
    <row r="98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</row>
    <row r="99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</row>
    <row r="100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35"/>
      <c r="AC100" s="235"/>
    </row>
    <row r="10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  <c r="AA101" s="235"/>
      <c r="AB101" s="235"/>
      <c r="AC101" s="235"/>
    </row>
    <row r="102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</row>
    <row r="103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235"/>
      <c r="AB103" s="235"/>
      <c r="AC103" s="235"/>
    </row>
    <row r="104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235"/>
      <c r="AB104" s="235"/>
      <c r="AC104" s="235"/>
    </row>
    <row r="105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235"/>
      <c r="AB105" s="235"/>
      <c r="AC105" s="235"/>
    </row>
    <row r="106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35"/>
      <c r="AC106" s="235"/>
    </row>
    <row r="107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</row>
    <row r="108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</row>
    <row r="109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</row>
    <row r="110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  <c r="AA110" s="235"/>
      <c r="AB110" s="235"/>
      <c r="AC110" s="235"/>
    </row>
    <row r="11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</row>
    <row r="112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</row>
    <row r="113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</row>
    <row r="114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</row>
    <row r="115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</row>
    <row r="116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</row>
    <row r="117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  <c r="AA117" s="235"/>
      <c r="AB117" s="235"/>
      <c r="AC117" s="235"/>
    </row>
    <row r="118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</row>
    <row r="119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</row>
    <row r="120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  <c r="Z120" s="235"/>
      <c r="AA120" s="235"/>
      <c r="AB120" s="235"/>
      <c r="AC120" s="235"/>
    </row>
    <row r="12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  <c r="AA121" s="235"/>
      <c r="AB121" s="235"/>
      <c r="AC121" s="235"/>
    </row>
    <row r="122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  <c r="AA122" s="235"/>
      <c r="AB122" s="235"/>
      <c r="AC122" s="235"/>
    </row>
    <row r="123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  <c r="AA123" s="235"/>
      <c r="AB123" s="235"/>
      <c r="AC123" s="235"/>
    </row>
    <row r="124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  <c r="AA124" s="235"/>
      <c r="AB124" s="235"/>
      <c r="AC124" s="235"/>
    </row>
    <row r="125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  <c r="AA125" s="235"/>
      <c r="AB125" s="235"/>
      <c r="AC125" s="235"/>
    </row>
    <row r="126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  <c r="AA126" s="235"/>
      <c r="AB126" s="235"/>
      <c r="AC126" s="235"/>
    </row>
    <row r="127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35"/>
      <c r="X127" s="235"/>
      <c r="Y127" s="235"/>
      <c r="Z127" s="235"/>
      <c r="AA127" s="235"/>
      <c r="AB127" s="235"/>
      <c r="AC127" s="235"/>
    </row>
    <row r="128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  <c r="AA128" s="235"/>
      <c r="AB128" s="235"/>
      <c r="AC128" s="235"/>
    </row>
    <row r="129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  <c r="AA129" s="235"/>
      <c r="AB129" s="235"/>
      <c r="AC129" s="235"/>
    </row>
    <row r="130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  <c r="AA130" s="235"/>
      <c r="AB130" s="235"/>
      <c r="AC130" s="235"/>
    </row>
    <row r="13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  <c r="AA131" s="235"/>
      <c r="AB131" s="235"/>
      <c r="AC131" s="235"/>
    </row>
    <row r="132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  <c r="AA132" s="235"/>
      <c r="AB132" s="235"/>
      <c r="AC132" s="235"/>
    </row>
    <row r="133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  <c r="AA133" s="235"/>
      <c r="AB133" s="235"/>
      <c r="AC133" s="235"/>
    </row>
    <row r="134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  <c r="AA134" s="235"/>
      <c r="AB134" s="235"/>
      <c r="AC134" s="235"/>
    </row>
    <row r="135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  <c r="AA135" s="235"/>
      <c r="AB135" s="235"/>
      <c r="AC135" s="235"/>
    </row>
    <row r="136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35"/>
      <c r="AA136" s="235"/>
      <c r="AB136" s="235"/>
      <c r="AC136" s="235"/>
    </row>
    <row r="137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  <c r="AA137" s="235"/>
      <c r="AB137" s="235"/>
      <c r="AC137" s="235"/>
    </row>
    <row r="138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  <c r="AA138" s="235"/>
      <c r="AB138" s="235"/>
      <c r="AC138" s="235"/>
    </row>
    <row r="139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  <c r="Z139" s="235"/>
      <c r="AA139" s="235"/>
      <c r="AB139" s="235"/>
      <c r="AC139" s="235"/>
    </row>
    <row r="140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  <c r="Z140" s="235"/>
      <c r="AA140" s="235"/>
      <c r="AB140" s="235"/>
      <c r="AC140" s="235"/>
    </row>
    <row r="14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  <c r="AA141" s="235"/>
      <c r="AB141" s="235"/>
      <c r="AC141" s="235"/>
    </row>
    <row r="142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  <c r="AA142" s="235"/>
      <c r="AB142" s="235"/>
      <c r="AC142" s="235"/>
    </row>
    <row r="143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</row>
    <row r="144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  <c r="AA144" s="235"/>
      <c r="AB144" s="235"/>
      <c r="AC144" s="235"/>
    </row>
    <row r="145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  <c r="AA145" s="235"/>
      <c r="AB145" s="235"/>
      <c r="AC145" s="235"/>
    </row>
    <row r="146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  <c r="AA146" s="235"/>
      <c r="AB146" s="235"/>
      <c r="AC146" s="235"/>
    </row>
    <row r="147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  <c r="AA147" s="235"/>
      <c r="AB147" s="235"/>
      <c r="AC147" s="235"/>
    </row>
    <row r="148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  <c r="AA148" s="235"/>
      <c r="AB148" s="235"/>
      <c r="AC148" s="235"/>
    </row>
    <row r="149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  <c r="Z149" s="235"/>
      <c r="AA149" s="235"/>
      <c r="AB149" s="235"/>
      <c r="AC149" s="235"/>
    </row>
    <row r="150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  <c r="AA150" s="235"/>
      <c r="AB150" s="235"/>
      <c r="AC150" s="235"/>
    </row>
    <row r="15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  <c r="AA151" s="235"/>
      <c r="AB151" s="235"/>
      <c r="AC151" s="235"/>
    </row>
    <row r="152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  <c r="AA152" s="235"/>
      <c r="AB152" s="235"/>
      <c r="AC152" s="235"/>
    </row>
    <row r="153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  <c r="AA153" s="235"/>
      <c r="AB153" s="235"/>
      <c r="AC153" s="235"/>
    </row>
    <row r="154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  <c r="AA154" s="235"/>
      <c r="AB154" s="235"/>
      <c r="AC154" s="235"/>
    </row>
    <row r="155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  <c r="AA155" s="235"/>
      <c r="AB155" s="235"/>
      <c r="AC155" s="235"/>
    </row>
    <row r="156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35"/>
      <c r="X156" s="235"/>
      <c r="Y156" s="235"/>
      <c r="Z156" s="235"/>
      <c r="AA156" s="235"/>
      <c r="AB156" s="235"/>
      <c r="AC156" s="235"/>
    </row>
    <row r="157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35"/>
      <c r="X157" s="235"/>
      <c r="Y157" s="235"/>
      <c r="Z157" s="235"/>
      <c r="AA157" s="235"/>
      <c r="AB157" s="235"/>
      <c r="AC157" s="235"/>
    </row>
    <row r="158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  <c r="Z158" s="235"/>
      <c r="AA158" s="235"/>
      <c r="AB158" s="235"/>
      <c r="AC158" s="235"/>
    </row>
    <row r="159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  <c r="AA159" s="235"/>
      <c r="AB159" s="235"/>
      <c r="AC159" s="235"/>
    </row>
    <row r="160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  <c r="AA160" s="235"/>
      <c r="AB160" s="235"/>
      <c r="AC160" s="235"/>
    </row>
    <row r="16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  <c r="AA161" s="235"/>
      <c r="AB161" s="235"/>
      <c r="AC161" s="235"/>
    </row>
    <row r="162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5"/>
      <c r="Y162" s="235"/>
      <c r="Z162" s="235"/>
      <c r="AA162" s="235"/>
      <c r="AB162" s="235"/>
      <c r="AC162" s="235"/>
    </row>
    <row r="163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35"/>
      <c r="X163" s="235"/>
      <c r="Y163" s="235"/>
      <c r="Z163" s="235"/>
      <c r="AA163" s="235"/>
      <c r="AB163" s="235"/>
      <c r="AC163" s="235"/>
    </row>
    <row r="164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35"/>
      <c r="X164" s="235"/>
      <c r="Y164" s="235"/>
      <c r="Z164" s="235"/>
      <c r="AA164" s="235"/>
      <c r="AB164" s="235"/>
      <c r="AC164" s="235"/>
    </row>
    <row r="165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  <c r="Z165" s="235"/>
      <c r="AA165" s="235"/>
      <c r="AB165" s="235"/>
      <c r="AC165" s="235"/>
    </row>
    <row r="166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  <c r="Z166" s="235"/>
      <c r="AA166" s="235"/>
      <c r="AB166" s="235"/>
      <c r="AC166" s="235"/>
    </row>
    <row r="167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35"/>
      <c r="X167" s="235"/>
      <c r="Y167" s="235"/>
      <c r="Z167" s="235"/>
      <c r="AA167" s="235"/>
      <c r="AB167" s="235"/>
      <c r="AC167" s="235"/>
    </row>
    <row r="168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35"/>
      <c r="X168" s="235"/>
      <c r="Y168" s="235"/>
      <c r="Z168" s="235"/>
      <c r="AA168" s="235"/>
      <c r="AB168" s="235"/>
      <c r="AC168" s="235"/>
    </row>
    <row r="169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  <c r="Z169" s="235"/>
      <c r="AA169" s="235"/>
      <c r="AB169" s="235"/>
      <c r="AC169" s="235"/>
    </row>
    <row r="170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  <c r="AA170" s="235"/>
      <c r="AB170" s="235"/>
      <c r="AC170" s="235"/>
    </row>
    <row r="17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  <c r="Z171" s="235"/>
      <c r="AA171" s="235"/>
      <c r="AB171" s="235"/>
      <c r="AC171" s="235"/>
    </row>
    <row r="172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35"/>
      <c r="AA172" s="235"/>
      <c r="AB172" s="235"/>
      <c r="AC172" s="235"/>
    </row>
    <row r="173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  <c r="Z173" s="235"/>
      <c r="AA173" s="235"/>
      <c r="AB173" s="235"/>
      <c r="AC173" s="235"/>
    </row>
    <row r="174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  <c r="Z174" s="235"/>
      <c r="AA174" s="235"/>
      <c r="AB174" s="235"/>
      <c r="AC174" s="235"/>
    </row>
    <row r="175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  <c r="Z175" s="235"/>
      <c r="AA175" s="235"/>
      <c r="AB175" s="235"/>
      <c r="AC175" s="235"/>
    </row>
    <row r="176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  <c r="Z176" s="235"/>
      <c r="AA176" s="235"/>
      <c r="AB176" s="235"/>
      <c r="AC176" s="235"/>
    </row>
    <row r="177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35"/>
      <c r="X177" s="235"/>
      <c r="Y177" s="235"/>
      <c r="Z177" s="235"/>
      <c r="AA177" s="235"/>
      <c r="AB177" s="235"/>
      <c r="AC177" s="235"/>
    </row>
    <row r="178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  <c r="AA178" s="235"/>
      <c r="AB178" s="235"/>
      <c r="AC178" s="235"/>
    </row>
    <row r="179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  <c r="AA179" s="235"/>
      <c r="AB179" s="235"/>
      <c r="AC179" s="235"/>
    </row>
    <row r="180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  <c r="AA180" s="235"/>
      <c r="AB180" s="235"/>
      <c r="AC180" s="235"/>
    </row>
    <row r="18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  <c r="AA181" s="235"/>
      <c r="AB181" s="235"/>
      <c r="AC181" s="235"/>
    </row>
    <row r="182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</row>
    <row r="183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  <c r="AA183" s="235"/>
      <c r="AB183" s="235"/>
      <c r="AC183" s="235"/>
    </row>
    <row r="184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  <c r="AA184" s="235"/>
      <c r="AB184" s="235"/>
      <c r="AC184" s="235"/>
    </row>
    <row r="185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35"/>
      <c r="W185" s="235"/>
      <c r="X185" s="235"/>
      <c r="Y185" s="235"/>
      <c r="Z185" s="235"/>
      <c r="AA185" s="235"/>
      <c r="AB185" s="235"/>
      <c r="AC185" s="235"/>
    </row>
    <row r="186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35"/>
      <c r="W186" s="235"/>
      <c r="X186" s="235"/>
      <c r="Y186" s="235"/>
      <c r="Z186" s="235"/>
      <c r="AA186" s="235"/>
      <c r="AB186" s="235"/>
      <c r="AC186" s="235"/>
    </row>
    <row r="187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  <c r="AA187" s="235"/>
      <c r="AB187" s="235"/>
      <c r="AC187" s="235"/>
    </row>
    <row r="188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  <c r="AA188" s="235"/>
      <c r="AB188" s="235"/>
      <c r="AC188" s="235"/>
    </row>
    <row r="189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  <c r="AA189" s="235"/>
      <c r="AB189" s="235"/>
      <c r="AC189" s="235"/>
    </row>
    <row r="190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  <c r="AA190" s="235"/>
      <c r="AB190" s="235"/>
      <c r="AC190" s="235"/>
    </row>
    <row r="19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  <c r="AA191" s="235"/>
      <c r="AB191" s="235"/>
      <c r="AC191" s="235"/>
    </row>
    <row r="192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  <c r="Z192" s="235"/>
      <c r="AA192" s="235"/>
      <c r="AB192" s="235"/>
      <c r="AC192" s="235"/>
    </row>
    <row r="193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  <c r="Z193" s="235"/>
      <c r="AA193" s="235"/>
      <c r="AB193" s="235"/>
      <c r="AC193" s="235"/>
    </row>
    <row r="194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  <c r="Z194" s="235"/>
      <c r="AA194" s="235"/>
      <c r="AB194" s="235"/>
      <c r="AC194" s="235"/>
    </row>
    <row r="195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  <c r="AA195" s="235"/>
      <c r="AB195" s="235"/>
      <c r="AC195" s="235"/>
    </row>
    <row r="196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  <c r="AA196" s="235"/>
      <c r="AB196" s="235"/>
      <c r="AC196" s="235"/>
    </row>
    <row r="197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  <c r="AA197" s="235"/>
      <c r="AB197" s="235"/>
      <c r="AC197" s="235"/>
    </row>
    <row r="198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  <c r="AA198" s="235"/>
      <c r="AB198" s="235"/>
      <c r="AC198" s="235"/>
    </row>
    <row r="199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  <c r="AA199" s="235"/>
      <c r="AB199" s="235"/>
      <c r="AC199" s="235"/>
    </row>
    <row r="200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  <c r="Z200" s="235"/>
      <c r="AA200" s="235"/>
      <c r="AB200" s="235"/>
      <c r="AC200" s="235"/>
    </row>
    <row r="20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  <c r="Z201" s="235"/>
      <c r="AA201" s="235"/>
      <c r="AB201" s="235"/>
      <c r="AC201" s="235"/>
    </row>
    <row r="202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  <c r="AA202" s="235"/>
      <c r="AB202" s="235"/>
      <c r="AC202" s="235"/>
    </row>
    <row r="203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  <c r="AA203" s="235"/>
      <c r="AB203" s="235"/>
      <c r="AC203" s="235"/>
    </row>
    <row r="204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  <c r="AA204" s="235"/>
      <c r="AB204" s="235"/>
      <c r="AC204" s="235"/>
    </row>
    <row r="205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  <c r="AA205" s="235"/>
      <c r="AB205" s="235"/>
      <c r="AC205" s="235"/>
    </row>
    <row r="206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  <c r="AA206" s="235"/>
      <c r="AB206" s="235"/>
      <c r="AC206" s="235"/>
    </row>
    <row r="207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  <c r="Z207" s="235"/>
      <c r="AA207" s="235"/>
      <c r="AB207" s="235"/>
      <c r="AC207" s="235"/>
    </row>
    <row r="208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  <c r="Z208" s="235"/>
      <c r="AA208" s="235"/>
      <c r="AB208" s="235"/>
      <c r="AC208" s="235"/>
    </row>
    <row r="209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  <c r="AA209" s="235"/>
      <c r="AB209" s="235"/>
      <c r="AC209" s="235"/>
    </row>
    <row r="210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35"/>
      <c r="W210" s="235"/>
      <c r="X210" s="235"/>
      <c r="Y210" s="235"/>
      <c r="Z210" s="235"/>
      <c r="AA210" s="235"/>
      <c r="AB210" s="235"/>
      <c r="AC210" s="235"/>
    </row>
    <row r="21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  <c r="AA211" s="235"/>
      <c r="AB211" s="235"/>
      <c r="AC211" s="235"/>
    </row>
    <row r="212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35"/>
      <c r="W212" s="235"/>
      <c r="X212" s="235"/>
      <c r="Y212" s="235"/>
      <c r="Z212" s="235"/>
      <c r="AA212" s="235"/>
      <c r="AB212" s="235"/>
      <c r="AC212" s="235"/>
    </row>
    <row r="213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  <c r="Z213" s="235"/>
      <c r="AA213" s="235"/>
      <c r="AB213" s="235"/>
      <c r="AC213" s="235"/>
    </row>
    <row r="214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  <c r="AA214" s="235"/>
      <c r="AB214" s="235"/>
      <c r="AC214" s="235"/>
    </row>
    <row r="215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  <c r="AA215" s="235"/>
      <c r="AB215" s="235"/>
      <c r="AC215" s="235"/>
    </row>
    <row r="216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  <c r="Z216" s="235"/>
      <c r="AA216" s="235"/>
      <c r="AB216" s="235"/>
      <c r="AC216" s="235"/>
    </row>
    <row r="217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  <c r="Z217" s="235"/>
      <c r="AA217" s="235"/>
      <c r="AB217" s="235"/>
      <c r="AC217" s="235"/>
    </row>
    <row r="218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  <c r="Z218" s="235"/>
      <c r="AA218" s="235"/>
      <c r="AB218" s="235"/>
      <c r="AC218" s="235"/>
    </row>
    <row r="219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35"/>
      <c r="W219" s="235"/>
      <c r="X219" s="235"/>
      <c r="Y219" s="235"/>
      <c r="Z219" s="235"/>
      <c r="AA219" s="235"/>
      <c r="AB219" s="235"/>
      <c r="AC219" s="235"/>
    </row>
    <row r="220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  <c r="AA220" s="235"/>
      <c r="AB220" s="235"/>
      <c r="AC220" s="235"/>
    </row>
    <row r="22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35"/>
      <c r="W221" s="235"/>
      <c r="X221" s="235"/>
      <c r="Y221" s="235"/>
      <c r="Z221" s="235"/>
      <c r="AA221" s="235"/>
      <c r="AB221" s="235"/>
      <c r="AC221" s="235"/>
    </row>
    <row r="222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  <c r="AA222" s="235"/>
      <c r="AB222" s="235"/>
      <c r="AC222" s="235"/>
    </row>
    <row r="223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  <c r="AA223" s="235"/>
      <c r="AB223" s="235"/>
      <c r="AC223" s="235"/>
    </row>
    <row r="224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  <c r="Z224" s="235"/>
      <c r="AA224" s="235"/>
      <c r="AB224" s="235"/>
      <c r="AC224" s="235"/>
    </row>
    <row r="225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35"/>
      <c r="W225" s="235"/>
      <c r="X225" s="235"/>
      <c r="Y225" s="235"/>
      <c r="Z225" s="235"/>
      <c r="AA225" s="235"/>
      <c r="AB225" s="235"/>
      <c r="AC225" s="235"/>
    </row>
    <row r="226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  <c r="Z226" s="235"/>
      <c r="AA226" s="235"/>
      <c r="AB226" s="235"/>
      <c r="AC226" s="235"/>
    </row>
    <row r="227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  <c r="Z227" s="235"/>
      <c r="AA227" s="235"/>
      <c r="AB227" s="235"/>
      <c r="AC227" s="235"/>
    </row>
    <row r="228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  <c r="AA228" s="235"/>
      <c r="AB228" s="235"/>
      <c r="AC228" s="235"/>
    </row>
    <row r="229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35"/>
      <c r="W229" s="235"/>
      <c r="X229" s="235"/>
      <c r="Y229" s="235"/>
      <c r="Z229" s="235"/>
      <c r="AA229" s="235"/>
      <c r="AB229" s="235"/>
      <c r="AC229" s="235"/>
    </row>
    <row r="230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35"/>
      <c r="W230" s="235"/>
      <c r="X230" s="235"/>
      <c r="Y230" s="235"/>
      <c r="Z230" s="235"/>
      <c r="AA230" s="235"/>
      <c r="AB230" s="235"/>
      <c r="AC230" s="235"/>
    </row>
    <row r="23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  <c r="Z231" s="235"/>
      <c r="AA231" s="235"/>
      <c r="AB231" s="235"/>
      <c r="AC231" s="235"/>
    </row>
    <row r="232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35"/>
      <c r="W232" s="235"/>
      <c r="X232" s="235"/>
      <c r="Y232" s="235"/>
      <c r="Z232" s="235"/>
      <c r="AA232" s="235"/>
      <c r="AB232" s="235"/>
      <c r="AC232" s="235"/>
    </row>
    <row r="233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  <c r="Z233" s="235"/>
      <c r="AA233" s="235"/>
      <c r="AB233" s="235"/>
      <c r="AC233" s="235"/>
    </row>
    <row r="234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35"/>
      <c r="W234" s="235"/>
      <c r="X234" s="235"/>
      <c r="Y234" s="235"/>
      <c r="Z234" s="235"/>
      <c r="AA234" s="235"/>
      <c r="AB234" s="235"/>
      <c r="AC234" s="235"/>
    </row>
    <row r="235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  <c r="AA235" s="235"/>
      <c r="AB235" s="235"/>
      <c r="AC235" s="235"/>
    </row>
    <row r="236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  <c r="AA236" s="235"/>
      <c r="AB236" s="235"/>
      <c r="AC236" s="235"/>
    </row>
    <row r="237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  <c r="AA237" s="235"/>
      <c r="AB237" s="235"/>
      <c r="AC237" s="235"/>
    </row>
    <row r="238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  <c r="Z238" s="235"/>
      <c r="AA238" s="235"/>
      <c r="AB238" s="235"/>
      <c r="AC238" s="235"/>
    </row>
    <row r="239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  <c r="Z239" s="235"/>
      <c r="AA239" s="235"/>
      <c r="AB239" s="235"/>
      <c r="AC239" s="235"/>
    </row>
    <row r="240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35"/>
      <c r="W240" s="235"/>
      <c r="X240" s="235"/>
      <c r="Y240" s="235"/>
      <c r="Z240" s="235"/>
      <c r="AA240" s="235"/>
      <c r="AB240" s="235"/>
      <c r="AC240" s="235"/>
    </row>
    <row r="24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  <c r="AA241" s="235"/>
      <c r="AB241" s="235"/>
      <c r="AC241" s="235"/>
    </row>
    <row r="242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  <c r="Z242" s="235"/>
      <c r="AA242" s="235"/>
      <c r="AB242" s="235"/>
      <c r="AC242" s="235"/>
    </row>
    <row r="243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  <c r="AA243" s="235"/>
      <c r="AB243" s="235"/>
      <c r="AC243" s="235"/>
    </row>
    <row r="244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35"/>
      <c r="W244" s="235"/>
      <c r="X244" s="235"/>
      <c r="Y244" s="235"/>
      <c r="Z244" s="235"/>
      <c r="AA244" s="235"/>
      <c r="AB244" s="235"/>
      <c r="AC244" s="235"/>
    </row>
    <row r="245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35"/>
      <c r="W245" s="235"/>
      <c r="X245" s="235"/>
      <c r="Y245" s="235"/>
      <c r="Z245" s="235"/>
      <c r="AA245" s="235"/>
      <c r="AB245" s="235"/>
      <c r="AC245" s="235"/>
    </row>
    <row r="246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  <c r="Z246" s="235"/>
      <c r="AA246" s="235"/>
      <c r="AB246" s="235"/>
      <c r="AC246" s="235"/>
    </row>
    <row r="247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35"/>
      <c r="W247" s="235"/>
      <c r="X247" s="235"/>
      <c r="Y247" s="235"/>
      <c r="Z247" s="235"/>
      <c r="AA247" s="235"/>
      <c r="AB247" s="235"/>
      <c r="AC247" s="235"/>
    </row>
    <row r="248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35"/>
      <c r="W248" s="235"/>
      <c r="X248" s="235"/>
      <c r="Y248" s="235"/>
      <c r="Z248" s="235"/>
      <c r="AA248" s="235"/>
      <c r="AB248" s="235"/>
      <c r="AC248" s="235"/>
    </row>
    <row r="249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35"/>
      <c r="W249" s="235"/>
      <c r="X249" s="235"/>
      <c r="Y249" s="235"/>
      <c r="Z249" s="235"/>
      <c r="AA249" s="235"/>
      <c r="AB249" s="235"/>
      <c r="AC249" s="235"/>
    </row>
    <row r="250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35"/>
      <c r="W250" s="235"/>
      <c r="X250" s="235"/>
      <c r="Y250" s="235"/>
      <c r="Z250" s="235"/>
      <c r="AA250" s="235"/>
      <c r="AB250" s="235"/>
      <c r="AC250" s="235"/>
    </row>
    <row r="25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35"/>
      <c r="W251" s="235"/>
      <c r="X251" s="235"/>
      <c r="Y251" s="235"/>
      <c r="Z251" s="235"/>
      <c r="AA251" s="235"/>
      <c r="AB251" s="235"/>
      <c r="AC251" s="235"/>
    </row>
    <row r="252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  <c r="Z252" s="235"/>
      <c r="AA252" s="235"/>
      <c r="AB252" s="235"/>
      <c r="AC252" s="235"/>
    </row>
    <row r="253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  <c r="Z253" s="235"/>
      <c r="AA253" s="235"/>
      <c r="AB253" s="235"/>
      <c r="AC253" s="235"/>
    </row>
    <row r="254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35"/>
      <c r="W254" s="235"/>
      <c r="X254" s="235"/>
      <c r="Y254" s="235"/>
      <c r="Z254" s="235"/>
      <c r="AA254" s="235"/>
      <c r="AB254" s="235"/>
      <c r="AC254" s="235"/>
    </row>
    <row r="255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35"/>
      <c r="W255" s="235"/>
      <c r="X255" s="235"/>
      <c r="Y255" s="235"/>
      <c r="Z255" s="235"/>
      <c r="AA255" s="235"/>
      <c r="AB255" s="235"/>
      <c r="AC255" s="235"/>
    </row>
    <row r="256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35"/>
      <c r="W256" s="235"/>
      <c r="X256" s="235"/>
      <c r="Y256" s="235"/>
      <c r="Z256" s="235"/>
      <c r="AA256" s="235"/>
      <c r="AB256" s="235"/>
      <c r="AC256" s="235"/>
    </row>
    <row r="257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  <c r="Z257" s="235"/>
      <c r="AA257" s="235"/>
      <c r="AB257" s="235"/>
      <c r="AC257" s="235"/>
    </row>
    <row r="258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  <c r="AA258" s="235"/>
      <c r="AB258" s="235"/>
      <c r="AC258" s="235"/>
    </row>
    <row r="259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  <c r="Z259" s="235"/>
      <c r="AA259" s="235"/>
      <c r="AB259" s="235"/>
      <c r="AC259" s="235"/>
    </row>
    <row r="260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  <c r="Z260" s="235"/>
      <c r="AA260" s="235"/>
      <c r="AB260" s="235"/>
      <c r="AC260" s="235"/>
    </row>
    <row r="26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35"/>
      <c r="W261" s="235"/>
      <c r="X261" s="235"/>
      <c r="Y261" s="235"/>
      <c r="Z261" s="235"/>
      <c r="AA261" s="235"/>
      <c r="AB261" s="235"/>
      <c r="AC261" s="235"/>
    </row>
    <row r="262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35"/>
      <c r="W262" s="235"/>
      <c r="X262" s="235"/>
      <c r="Y262" s="235"/>
      <c r="Z262" s="235"/>
      <c r="AA262" s="235"/>
      <c r="AB262" s="235"/>
      <c r="AC262" s="235"/>
    </row>
    <row r="263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  <c r="Z263" s="235"/>
      <c r="AA263" s="235"/>
      <c r="AB263" s="235"/>
      <c r="AC263" s="235"/>
    </row>
    <row r="264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35"/>
      <c r="W264" s="235"/>
      <c r="X264" s="235"/>
      <c r="Y264" s="235"/>
      <c r="Z264" s="235"/>
      <c r="AA264" s="235"/>
      <c r="AB264" s="235"/>
      <c r="AC264" s="235"/>
    </row>
    <row r="265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35"/>
      <c r="W265" s="235"/>
      <c r="X265" s="235"/>
      <c r="Y265" s="235"/>
      <c r="Z265" s="235"/>
      <c r="AA265" s="235"/>
      <c r="AB265" s="235"/>
      <c r="AC265" s="235"/>
    </row>
    <row r="266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35"/>
      <c r="W266" s="235"/>
      <c r="X266" s="235"/>
      <c r="Y266" s="235"/>
      <c r="Z266" s="235"/>
      <c r="AA266" s="235"/>
      <c r="AB266" s="235"/>
      <c r="AC266" s="235"/>
    </row>
    <row r="267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  <c r="Z267" s="235"/>
      <c r="AA267" s="235"/>
      <c r="AB267" s="235"/>
      <c r="AC267" s="235"/>
    </row>
    <row r="268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  <c r="Z268" s="235"/>
      <c r="AA268" s="235"/>
      <c r="AB268" s="235"/>
      <c r="AC268" s="235"/>
    </row>
    <row r="269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35"/>
      <c r="W269" s="235"/>
      <c r="X269" s="235"/>
      <c r="Y269" s="235"/>
      <c r="Z269" s="235"/>
      <c r="AA269" s="235"/>
      <c r="AB269" s="235"/>
      <c r="AC269" s="235"/>
    </row>
    <row r="270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35"/>
      <c r="W270" s="235"/>
      <c r="X270" s="235"/>
      <c r="Y270" s="235"/>
      <c r="Z270" s="235"/>
      <c r="AA270" s="235"/>
      <c r="AB270" s="235"/>
      <c r="AC270" s="235"/>
    </row>
    <row r="27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35"/>
      <c r="W271" s="235"/>
      <c r="X271" s="235"/>
      <c r="Y271" s="235"/>
      <c r="Z271" s="235"/>
      <c r="AA271" s="235"/>
      <c r="AB271" s="235"/>
      <c r="AC271" s="235"/>
    </row>
    <row r="272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  <c r="AA272" s="235"/>
      <c r="AB272" s="235"/>
      <c r="AC272" s="235"/>
    </row>
    <row r="273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  <c r="AA273" s="235"/>
      <c r="AB273" s="235"/>
      <c r="AC273" s="235"/>
    </row>
    <row r="274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  <c r="AA274" s="235"/>
      <c r="AB274" s="235"/>
      <c r="AC274" s="235"/>
    </row>
    <row r="275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  <c r="Z275" s="235"/>
      <c r="AA275" s="235"/>
      <c r="AB275" s="235"/>
      <c r="AC275" s="235"/>
    </row>
    <row r="276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  <c r="AA276" s="235"/>
      <c r="AB276" s="235"/>
      <c r="AC276" s="235"/>
    </row>
    <row r="277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35"/>
      <c r="W277" s="235"/>
      <c r="X277" s="235"/>
      <c r="Y277" s="235"/>
      <c r="Z277" s="235"/>
      <c r="AA277" s="235"/>
      <c r="AB277" s="235"/>
      <c r="AC277" s="235"/>
    </row>
    <row r="278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35"/>
      <c r="W278" s="235"/>
      <c r="X278" s="235"/>
      <c r="Y278" s="235"/>
      <c r="Z278" s="235"/>
      <c r="AA278" s="235"/>
      <c r="AB278" s="235"/>
      <c r="AC278" s="235"/>
    </row>
    <row r="279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35"/>
      <c r="W279" s="235"/>
      <c r="X279" s="235"/>
      <c r="Y279" s="235"/>
      <c r="Z279" s="235"/>
      <c r="AA279" s="235"/>
      <c r="AB279" s="235"/>
      <c r="AC279" s="235"/>
    </row>
    <row r="280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  <c r="AA280" s="235"/>
      <c r="AB280" s="235"/>
      <c r="AC280" s="235"/>
    </row>
    <row r="28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35"/>
      <c r="W281" s="235"/>
      <c r="X281" s="235"/>
      <c r="Y281" s="235"/>
      <c r="Z281" s="235"/>
      <c r="AA281" s="235"/>
      <c r="AB281" s="235"/>
      <c r="AC281" s="235"/>
    </row>
    <row r="282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35"/>
      <c r="W282" s="235"/>
      <c r="X282" s="235"/>
      <c r="Y282" s="235"/>
      <c r="Z282" s="235"/>
      <c r="AA282" s="235"/>
      <c r="AB282" s="235"/>
      <c r="AC282" s="235"/>
    </row>
    <row r="283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  <c r="AA283" s="235"/>
      <c r="AB283" s="235"/>
      <c r="AC283" s="235"/>
    </row>
    <row r="284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35"/>
      <c r="W284" s="235"/>
      <c r="X284" s="235"/>
      <c r="Y284" s="235"/>
      <c r="Z284" s="235"/>
      <c r="AA284" s="235"/>
      <c r="AB284" s="235"/>
      <c r="AC284" s="235"/>
    </row>
    <row r="285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  <c r="Z285" s="235"/>
      <c r="AA285" s="235"/>
      <c r="AB285" s="235"/>
      <c r="AC285" s="235"/>
    </row>
    <row r="286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  <c r="Z286" s="235"/>
      <c r="AA286" s="235"/>
      <c r="AB286" s="235"/>
      <c r="AC286" s="235"/>
    </row>
    <row r="287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35"/>
      <c r="W287" s="235"/>
      <c r="X287" s="235"/>
      <c r="Y287" s="235"/>
      <c r="Z287" s="235"/>
      <c r="AA287" s="235"/>
      <c r="AB287" s="235"/>
      <c r="AC287" s="235"/>
    </row>
    <row r="288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  <c r="Z288" s="235"/>
      <c r="AA288" s="235"/>
      <c r="AB288" s="235"/>
      <c r="AC288" s="235"/>
    </row>
    <row r="289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  <c r="Z289" s="235"/>
      <c r="AA289" s="235"/>
      <c r="AB289" s="235"/>
      <c r="AC289" s="235"/>
    </row>
    <row r="290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  <c r="Z290" s="235"/>
      <c r="AA290" s="235"/>
      <c r="AB290" s="235"/>
      <c r="AC290" s="235"/>
    </row>
    <row r="29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  <c r="Z291" s="235"/>
      <c r="AA291" s="235"/>
      <c r="AB291" s="235"/>
      <c r="AC291" s="235"/>
    </row>
    <row r="292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35"/>
      <c r="W292" s="235"/>
      <c r="X292" s="235"/>
      <c r="Y292" s="235"/>
      <c r="Z292" s="235"/>
      <c r="AA292" s="235"/>
      <c r="AB292" s="235"/>
      <c r="AC292" s="235"/>
    </row>
    <row r="293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35"/>
      <c r="W293" s="235"/>
      <c r="X293" s="235"/>
      <c r="Y293" s="235"/>
      <c r="Z293" s="235"/>
      <c r="AA293" s="235"/>
      <c r="AB293" s="235"/>
      <c r="AC293" s="235"/>
    </row>
    <row r="294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  <c r="Z294" s="235"/>
      <c r="AA294" s="235"/>
      <c r="AB294" s="235"/>
      <c r="AC294" s="235"/>
    </row>
    <row r="295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35"/>
      <c r="W295" s="235"/>
      <c r="X295" s="235"/>
      <c r="Y295" s="235"/>
      <c r="Z295" s="235"/>
      <c r="AA295" s="235"/>
      <c r="AB295" s="235"/>
      <c r="AC295" s="235"/>
    </row>
    <row r="296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  <c r="X296" s="235"/>
      <c r="Y296" s="235"/>
      <c r="Z296" s="235"/>
      <c r="AA296" s="235"/>
      <c r="AB296" s="235"/>
      <c r="AC296" s="235"/>
    </row>
    <row r="297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  <c r="Z297" s="235"/>
      <c r="AA297" s="235"/>
      <c r="AB297" s="235"/>
      <c r="AC297" s="235"/>
    </row>
    <row r="298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35"/>
      <c r="W298" s="235"/>
      <c r="X298" s="235"/>
      <c r="Y298" s="235"/>
      <c r="Z298" s="235"/>
      <c r="AA298" s="235"/>
      <c r="AB298" s="235"/>
      <c r="AC298" s="235"/>
    </row>
    <row r="299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35"/>
      <c r="W299" s="235"/>
      <c r="X299" s="235"/>
      <c r="Y299" s="235"/>
      <c r="Z299" s="235"/>
      <c r="AA299" s="235"/>
      <c r="AB299" s="235"/>
      <c r="AC299" s="235"/>
    </row>
    <row r="300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5"/>
      <c r="Y300" s="235"/>
      <c r="Z300" s="235"/>
      <c r="AA300" s="235"/>
      <c r="AB300" s="235"/>
      <c r="AC300" s="235"/>
    </row>
    <row r="30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35"/>
      <c r="W301" s="235"/>
      <c r="X301" s="235"/>
      <c r="Y301" s="235"/>
      <c r="Z301" s="235"/>
      <c r="AA301" s="235"/>
      <c r="AB301" s="235"/>
      <c r="AC301" s="235"/>
    </row>
    <row r="302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35"/>
      <c r="W302" s="235"/>
      <c r="X302" s="235"/>
      <c r="Y302" s="235"/>
      <c r="Z302" s="235"/>
      <c r="AA302" s="235"/>
      <c r="AB302" s="235"/>
      <c r="AC302" s="235"/>
    </row>
    <row r="303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35"/>
      <c r="W303" s="235"/>
      <c r="X303" s="235"/>
      <c r="Y303" s="235"/>
      <c r="Z303" s="235"/>
      <c r="AA303" s="235"/>
      <c r="AB303" s="235"/>
      <c r="AC303" s="235"/>
    </row>
    <row r="304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35"/>
      <c r="W304" s="235"/>
      <c r="X304" s="235"/>
      <c r="Y304" s="235"/>
      <c r="Z304" s="235"/>
      <c r="AA304" s="235"/>
      <c r="AB304" s="235"/>
      <c r="AC304" s="235"/>
    </row>
    <row r="305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35"/>
      <c r="W305" s="235"/>
      <c r="X305" s="235"/>
      <c r="Y305" s="235"/>
      <c r="Z305" s="235"/>
      <c r="AA305" s="235"/>
      <c r="AB305" s="235"/>
      <c r="AC305" s="235"/>
    </row>
    <row r="306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35"/>
      <c r="W306" s="235"/>
      <c r="X306" s="235"/>
      <c r="Y306" s="235"/>
      <c r="Z306" s="235"/>
      <c r="AA306" s="235"/>
      <c r="AB306" s="235"/>
      <c r="AC306" s="235"/>
    </row>
    <row r="307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35"/>
      <c r="W307" s="235"/>
      <c r="X307" s="235"/>
      <c r="Y307" s="235"/>
      <c r="Z307" s="235"/>
      <c r="AA307" s="235"/>
      <c r="AB307" s="235"/>
      <c r="AC307" s="235"/>
    </row>
    <row r="308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  <c r="Z308" s="235"/>
      <c r="AA308" s="235"/>
      <c r="AB308" s="235"/>
      <c r="AC308" s="235"/>
    </row>
    <row r="309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  <c r="AA309" s="235"/>
      <c r="AB309" s="235"/>
      <c r="AC309" s="235"/>
    </row>
    <row r="310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  <c r="AA310" s="235"/>
      <c r="AB310" s="235"/>
      <c r="AC310" s="235"/>
    </row>
    <row r="31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35"/>
      <c r="W311" s="235"/>
      <c r="X311" s="235"/>
      <c r="Y311" s="235"/>
      <c r="Z311" s="235"/>
      <c r="AA311" s="235"/>
      <c r="AB311" s="235"/>
      <c r="AC311" s="235"/>
    </row>
    <row r="312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35"/>
      <c r="W312" s="235"/>
      <c r="X312" s="235"/>
      <c r="Y312" s="235"/>
      <c r="Z312" s="235"/>
      <c r="AA312" s="235"/>
      <c r="AB312" s="235"/>
      <c r="AC312" s="235"/>
    </row>
    <row r="313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35"/>
      <c r="W313" s="235"/>
      <c r="X313" s="235"/>
      <c r="Y313" s="235"/>
      <c r="Z313" s="235"/>
      <c r="AA313" s="235"/>
      <c r="AB313" s="235"/>
      <c r="AC313" s="235"/>
    </row>
    <row r="314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35"/>
      <c r="W314" s="235"/>
      <c r="X314" s="235"/>
      <c r="Y314" s="235"/>
      <c r="Z314" s="235"/>
      <c r="AA314" s="235"/>
      <c r="AB314" s="235"/>
      <c r="AC314" s="235"/>
    </row>
    <row r="315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35"/>
      <c r="W315" s="235"/>
      <c r="X315" s="235"/>
      <c r="Y315" s="235"/>
      <c r="Z315" s="235"/>
      <c r="AA315" s="235"/>
      <c r="AB315" s="235"/>
      <c r="AC315" s="235"/>
    </row>
    <row r="316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35"/>
      <c r="W316" s="235"/>
      <c r="X316" s="235"/>
      <c r="Y316" s="235"/>
      <c r="Z316" s="235"/>
      <c r="AA316" s="235"/>
      <c r="AB316" s="235"/>
      <c r="AC316" s="235"/>
    </row>
    <row r="317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  <c r="Z317" s="235"/>
      <c r="AA317" s="235"/>
      <c r="AB317" s="235"/>
      <c r="AC317" s="235"/>
    </row>
    <row r="318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  <c r="Z318" s="235"/>
      <c r="AA318" s="235"/>
      <c r="AB318" s="235"/>
      <c r="AC318" s="235"/>
    </row>
    <row r="319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35"/>
      <c r="W319" s="235"/>
      <c r="X319" s="235"/>
      <c r="Y319" s="235"/>
      <c r="Z319" s="235"/>
      <c r="AA319" s="235"/>
      <c r="AB319" s="235"/>
      <c r="AC319" s="235"/>
    </row>
    <row r="320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235"/>
      <c r="AC320" s="235"/>
    </row>
    <row r="32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35"/>
      <c r="W321" s="235"/>
      <c r="X321" s="235"/>
      <c r="Y321" s="235"/>
      <c r="Z321" s="235"/>
      <c r="AA321" s="235"/>
      <c r="AB321" s="235"/>
      <c r="AC321" s="235"/>
    </row>
    <row r="322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35"/>
      <c r="W322" s="235"/>
      <c r="X322" s="235"/>
      <c r="Y322" s="235"/>
      <c r="Z322" s="235"/>
      <c r="AA322" s="235"/>
      <c r="AB322" s="235"/>
      <c r="AC322" s="235"/>
    </row>
    <row r="323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  <c r="Z323" s="235"/>
      <c r="AA323" s="235"/>
      <c r="AB323" s="235"/>
      <c r="AC323" s="235"/>
    </row>
    <row r="324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35"/>
      <c r="W324" s="235"/>
      <c r="X324" s="235"/>
      <c r="Y324" s="235"/>
      <c r="Z324" s="235"/>
      <c r="AA324" s="235"/>
      <c r="AB324" s="235"/>
      <c r="AC324" s="235"/>
    </row>
    <row r="325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35"/>
      <c r="W325" s="235"/>
      <c r="X325" s="235"/>
      <c r="Y325" s="235"/>
      <c r="Z325" s="235"/>
      <c r="AA325" s="235"/>
      <c r="AB325" s="235"/>
      <c r="AC325" s="235"/>
    </row>
    <row r="326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35"/>
      <c r="W326" s="235"/>
      <c r="X326" s="235"/>
      <c r="Y326" s="235"/>
      <c r="Z326" s="235"/>
      <c r="AA326" s="235"/>
      <c r="AB326" s="235"/>
      <c r="AC326" s="235"/>
    </row>
    <row r="327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35"/>
      <c r="W327" s="235"/>
      <c r="X327" s="235"/>
      <c r="Y327" s="235"/>
      <c r="Z327" s="235"/>
      <c r="AA327" s="235"/>
      <c r="AB327" s="235"/>
      <c r="AC327" s="235"/>
    </row>
    <row r="328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35"/>
      <c r="W328" s="235"/>
      <c r="X328" s="235"/>
      <c r="Y328" s="235"/>
      <c r="Z328" s="235"/>
      <c r="AA328" s="235"/>
      <c r="AB328" s="235"/>
      <c r="AC328" s="235"/>
    </row>
    <row r="329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35"/>
      <c r="W329" s="235"/>
      <c r="X329" s="235"/>
      <c r="Y329" s="235"/>
      <c r="Z329" s="235"/>
      <c r="AA329" s="235"/>
      <c r="AB329" s="235"/>
      <c r="AC329" s="235"/>
    </row>
    <row r="330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35"/>
      <c r="W330" s="235"/>
      <c r="X330" s="235"/>
      <c r="Y330" s="235"/>
      <c r="Z330" s="235"/>
      <c r="AA330" s="235"/>
      <c r="AB330" s="235"/>
      <c r="AC330" s="235"/>
    </row>
    <row r="33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35"/>
      <c r="W331" s="235"/>
      <c r="X331" s="235"/>
      <c r="Y331" s="235"/>
      <c r="Z331" s="235"/>
      <c r="AA331" s="235"/>
      <c r="AB331" s="235"/>
      <c r="AC331" s="235"/>
    </row>
    <row r="332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35"/>
      <c r="W332" s="235"/>
      <c r="X332" s="235"/>
      <c r="Y332" s="235"/>
      <c r="Z332" s="235"/>
      <c r="AA332" s="235"/>
      <c r="AB332" s="235"/>
      <c r="AC332" s="235"/>
    </row>
    <row r="333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35"/>
      <c r="W333" s="235"/>
      <c r="X333" s="235"/>
      <c r="Y333" s="235"/>
      <c r="Z333" s="235"/>
      <c r="AA333" s="235"/>
      <c r="AB333" s="235"/>
      <c r="AC333" s="235"/>
    </row>
    <row r="334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35"/>
      <c r="W334" s="235"/>
      <c r="X334" s="235"/>
      <c r="Y334" s="235"/>
      <c r="Z334" s="235"/>
      <c r="AA334" s="235"/>
      <c r="AB334" s="235"/>
      <c r="AC334" s="235"/>
    </row>
    <row r="335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  <c r="Z335" s="235"/>
      <c r="AA335" s="235"/>
      <c r="AB335" s="235"/>
      <c r="AC335" s="235"/>
    </row>
    <row r="336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35"/>
      <c r="W336" s="235"/>
      <c r="X336" s="235"/>
      <c r="Y336" s="235"/>
      <c r="Z336" s="235"/>
      <c r="AA336" s="235"/>
      <c r="AB336" s="235"/>
      <c r="AC336" s="235"/>
    </row>
    <row r="337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35"/>
      <c r="W337" s="235"/>
      <c r="X337" s="235"/>
      <c r="Y337" s="235"/>
      <c r="Z337" s="235"/>
      <c r="AA337" s="235"/>
      <c r="AB337" s="235"/>
      <c r="AC337" s="235"/>
    </row>
    <row r="338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35"/>
      <c r="W338" s="235"/>
      <c r="X338" s="235"/>
      <c r="Y338" s="235"/>
      <c r="Z338" s="235"/>
      <c r="AA338" s="235"/>
      <c r="AB338" s="235"/>
      <c r="AC338" s="235"/>
    </row>
    <row r="339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35"/>
      <c r="W339" s="235"/>
      <c r="X339" s="235"/>
      <c r="Y339" s="235"/>
      <c r="Z339" s="235"/>
      <c r="AA339" s="235"/>
      <c r="AB339" s="235"/>
      <c r="AC339" s="235"/>
    </row>
    <row r="340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35"/>
      <c r="W340" s="235"/>
      <c r="X340" s="235"/>
      <c r="Y340" s="235"/>
      <c r="Z340" s="235"/>
      <c r="AA340" s="235"/>
      <c r="AB340" s="235"/>
      <c r="AC340" s="235"/>
    </row>
    <row r="34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35"/>
      <c r="W341" s="235"/>
      <c r="X341" s="235"/>
      <c r="Y341" s="235"/>
      <c r="Z341" s="235"/>
      <c r="AA341" s="235"/>
      <c r="AB341" s="235"/>
      <c r="AC341" s="235"/>
    </row>
    <row r="342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35"/>
      <c r="W342" s="235"/>
      <c r="X342" s="235"/>
      <c r="Y342" s="235"/>
      <c r="Z342" s="235"/>
      <c r="AA342" s="235"/>
      <c r="AB342" s="235"/>
      <c r="AC342" s="235"/>
    </row>
    <row r="343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35"/>
      <c r="W343" s="235"/>
      <c r="X343" s="235"/>
      <c r="Y343" s="235"/>
      <c r="Z343" s="235"/>
      <c r="AA343" s="235"/>
      <c r="AB343" s="235"/>
      <c r="AC343" s="235"/>
    </row>
    <row r="344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35"/>
      <c r="W344" s="235"/>
      <c r="X344" s="235"/>
      <c r="Y344" s="235"/>
      <c r="Z344" s="235"/>
      <c r="AA344" s="235"/>
      <c r="AB344" s="235"/>
      <c r="AC344" s="235"/>
    </row>
    <row r="345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35"/>
      <c r="W345" s="235"/>
      <c r="X345" s="235"/>
      <c r="Y345" s="235"/>
      <c r="Z345" s="235"/>
      <c r="AA345" s="235"/>
      <c r="AB345" s="235"/>
      <c r="AC345" s="235"/>
    </row>
    <row r="346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35"/>
      <c r="W346" s="235"/>
      <c r="X346" s="235"/>
      <c r="Y346" s="235"/>
      <c r="Z346" s="235"/>
      <c r="AA346" s="235"/>
      <c r="AB346" s="235"/>
      <c r="AC346" s="235"/>
    </row>
    <row r="347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35"/>
      <c r="W347" s="235"/>
      <c r="X347" s="235"/>
      <c r="Y347" s="235"/>
      <c r="Z347" s="235"/>
      <c r="AA347" s="235"/>
      <c r="AB347" s="235"/>
      <c r="AC347" s="235"/>
    </row>
    <row r="348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  <c r="Z348" s="235"/>
      <c r="AA348" s="235"/>
      <c r="AB348" s="235"/>
      <c r="AC348" s="235"/>
    </row>
    <row r="349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  <c r="Z349" s="235"/>
      <c r="AA349" s="235"/>
      <c r="AB349" s="235"/>
      <c r="AC349" s="235"/>
    </row>
    <row r="350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35"/>
      <c r="W350" s="235"/>
      <c r="X350" s="235"/>
      <c r="Y350" s="235"/>
      <c r="Z350" s="235"/>
      <c r="AA350" s="235"/>
      <c r="AB350" s="235"/>
      <c r="AC350" s="235"/>
    </row>
    <row r="35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35"/>
      <c r="W351" s="235"/>
      <c r="X351" s="235"/>
      <c r="Y351" s="235"/>
      <c r="Z351" s="235"/>
      <c r="AA351" s="235"/>
      <c r="AB351" s="235"/>
      <c r="AC351" s="235"/>
    </row>
    <row r="35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35"/>
      <c r="W352" s="235"/>
      <c r="X352" s="235"/>
      <c r="Y352" s="235"/>
      <c r="Z352" s="235"/>
      <c r="AA352" s="235"/>
      <c r="AB352" s="235"/>
      <c r="AC352" s="235"/>
    </row>
    <row r="353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  <c r="Z353" s="235"/>
      <c r="AA353" s="235"/>
      <c r="AB353" s="235"/>
      <c r="AC353" s="235"/>
    </row>
    <row r="354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35"/>
      <c r="W354" s="235"/>
      <c r="X354" s="235"/>
      <c r="Y354" s="235"/>
      <c r="Z354" s="235"/>
      <c r="AA354" s="235"/>
      <c r="AB354" s="235"/>
      <c r="AC354" s="235"/>
    </row>
    <row r="355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  <c r="Z355" s="235"/>
      <c r="AA355" s="235"/>
      <c r="AB355" s="235"/>
      <c r="AC355" s="235"/>
    </row>
    <row r="356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35"/>
      <c r="W356" s="235"/>
      <c r="X356" s="235"/>
      <c r="Y356" s="235"/>
      <c r="Z356" s="235"/>
      <c r="AA356" s="235"/>
      <c r="AB356" s="235"/>
      <c r="AC356" s="235"/>
    </row>
    <row r="357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  <c r="Z357" s="235"/>
      <c r="AA357" s="235"/>
      <c r="AB357" s="235"/>
      <c r="AC357" s="235"/>
    </row>
    <row r="358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35"/>
      <c r="W358" s="235"/>
      <c r="X358" s="235"/>
      <c r="Y358" s="235"/>
      <c r="Z358" s="235"/>
      <c r="AA358" s="235"/>
      <c r="AB358" s="235"/>
      <c r="AC358" s="235"/>
    </row>
    <row r="359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  <c r="Z359" s="235"/>
      <c r="AA359" s="235"/>
      <c r="AB359" s="235"/>
      <c r="AC359" s="235"/>
    </row>
    <row r="360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  <c r="Z360" s="235"/>
      <c r="AA360" s="235"/>
      <c r="AB360" s="235"/>
      <c r="AC360" s="235"/>
    </row>
    <row r="36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  <c r="AA361" s="235"/>
      <c r="AB361" s="235"/>
      <c r="AC361" s="235"/>
    </row>
    <row r="362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35"/>
      <c r="W362" s="235"/>
      <c r="X362" s="235"/>
      <c r="Y362" s="235"/>
      <c r="Z362" s="235"/>
      <c r="AA362" s="235"/>
      <c r="AB362" s="235"/>
      <c r="AC362" s="235"/>
    </row>
    <row r="363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  <c r="Z363" s="235"/>
      <c r="AA363" s="235"/>
      <c r="AB363" s="235"/>
      <c r="AC363" s="235"/>
    </row>
    <row r="364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  <c r="Z364" s="235"/>
      <c r="AA364" s="235"/>
      <c r="AB364" s="235"/>
      <c r="AC364" s="235"/>
    </row>
    <row r="365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35"/>
      <c r="W365" s="235"/>
      <c r="X365" s="235"/>
      <c r="Y365" s="235"/>
      <c r="Z365" s="235"/>
      <c r="AA365" s="235"/>
      <c r="AB365" s="235"/>
      <c r="AC365" s="235"/>
    </row>
    <row r="366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  <c r="Z366" s="235"/>
      <c r="AA366" s="235"/>
      <c r="AB366" s="235"/>
      <c r="AC366" s="235"/>
    </row>
    <row r="367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35"/>
      <c r="W367" s="235"/>
      <c r="X367" s="235"/>
      <c r="Y367" s="235"/>
      <c r="Z367" s="235"/>
      <c r="AA367" s="235"/>
      <c r="AB367" s="235"/>
      <c r="AC367" s="235"/>
    </row>
    <row r="368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35"/>
      <c r="W368" s="235"/>
      <c r="X368" s="235"/>
      <c r="Y368" s="235"/>
      <c r="Z368" s="235"/>
      <c r="AA368" s="235"/>
      <c r="AB368" s="235"/>
      <c r="AC368" s="235"/>
    </row>
    <row r="369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  <c r="Z369" s="235"/>
      <c r="AA369" s="235"/>
      <c r="AB369" s="235"/>
      <c r="AC369" s="235"/>
    </row>
    <row r="370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35"/>
      <c r="W370" s="235"/>
      <c r="X370" s="235"/>
      <c r="Y370" s="235"/>
      <c r="Z370" s="235"/>
      <c r="AA370" s="235"/>
      <c r="AB370" s="235"/>
      <c r="AC370" s="235"/>
    </row>
    <row r="37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  <c r="AA371" s="235"/>
      <c r="AB371" s="235"/>
      <c r="AC371" s="235"/>
    </row>
    <row r="372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  <c r="Z372" s="235"/>
      <c r="AA372" s="235"/>
      <c r="AB372" s="235"/>
      <c r="AC372" s="235"/>
    </row>
    <row r="373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  <c r="AA373" s="235"/>
      <c r="AB373" s="235"/>
      <c r="AC373" s="235"/>
    </row>
    <row r="374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  <c r="AA374" s="235"/>
      <c r="AB374" s="235"/>
      <c r="AC374" s="235"/>
    </row>
    <row r="375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  <c r="AA375" s="235"/>
      <c r="AB375" s="235"/>
      <c r="AC375" s="235"/>
    </row>
    <row r="376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  <c r="AA376" s="235"/>
      <c r="AB376" s="235"/>
      <c r="AC376" s="235"/>
    </row>
    <row r="377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  <c r="AA377" s="235"/>
      <c r="AB377" s="235"/>
      <c r="AC377" s="235"/>
    </row>
    <row r="378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  <c r="AA378" s="235"/>
      <c r="AB378" s="235"/>
      <c r="AC378" s="235"/>
    </row>
    <row r="379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  <c r="Z379" s="235"/>
      <c r="AA379" s="235"/>
      <c r="AB379" s="235"/>
      <c r="AC379" s="235"/>
    </row>
    <row r="380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35"/>
      <c r="W380" s="235"/>
      <c r="X380" s="235"/>
      <c r="Y380" s="235"/>
      <c r="Z380" s="235"/>
      <c r="AA380" s="235"/>
      <c r="AB380" s="235"/>
      <c r="AC380" s="235"/>
    </row>
    <row r="38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  <c r="Z381" s="235"/>
      <c r="AA381" s="235"/>
      <c r="AB381" s="235"/>
      <c r="AC381" s="235"/>
    </row>
    <row r="382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  <c r="Z382" s="235"/>
      <c r="AA382" s="235"/>
      <c r="AB382" s="235"/>
      <c r="AC382" s="235"/>
    </row>
    <row r="383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35"/>
      <c r="W383" s="235"/>
      <c r="X383" s="235"/>
      <c r="Y383" s="235"/>
      <c r="Z383" s="235"/>
      <c r="AA383" s="235"/>
      <c r="AB383" s="235"/>
      <c r="AC383" s="235"/>
    </row>
    <row r="384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  <c r="AA384" s="235"/>
      <c r="AB384" s="235"/>
      <c r="AC384" s="235"/>
    </row>
    <row r="385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  <c r="AA385" s="235"/>
      <c r="AB385" s="235"/>
      <c r="AC385" s="235"/>
    </row>
    <row r="386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  <c r="AA386" s="235"/>
      <c r="AB386" s="235"/>
      <c r="AC386" s="235"/>
    </row>
    <row r="387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  <c r="AA387" s="235"/>
      <c r="AB387" s="235"/>
      <c r="AC387" s="235"/>
    </row>
    <row r="388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  <c r="Z388" s="235"/>
      <c r="AA388" s="235"/>
      <c r="AB388" s="235"/>
      <c r="AC388" s="235"/>
    </row>
    <row r="389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  <c r="AA389" s="235"/>
      <c r="AB389" s="235"/>
      <c r="AC389" s="235"/>
    </row>
    <row r="390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  <c r="AA390" s="235"/>
      <c r="AB390" s="235"/>
      <c r="AC390" s="235"/>
    </row>
    <row r="39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  <c r="AA391" s="235"/>
      <c r="AB391" s="235"/>
      <c r="AC391" s="235"/>
    </row>
    <row r="392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  <c r="Z392" s="235"/>
      <c r="AA392" s="235"/>
      <c r="AB392" s="235"/>
      <c r="AC392" s="235"/>
    </row>
    <row r="393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  <c r="AA393" s="235"/>
      <c r="AB393" s="235"/>
      <c r="AC393" s="235"/>
    </row>
    <row r="394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  <c r="AA394" s="235"/>
      <c r="AB394" s="235"/>
      <c r="AC394" s="235"/>
    </row>
    <row r="395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  <c r="AA395" s="235"/>
      <c r="AB395" s="235"/>
      <c r="AC395" s="235"/>
    </row>
    <row r="396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  <c r="AA396" s="235"/>
      <c r="AB396" s="235"/>
      <c r="AC396" s="235"/>
    </row>
    <row r="397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  <c r="AA397" s="235"/>
      <c r="AB397" s="235"/>
      <c r="AC397" s="235"/>
    </row>
    <row r="398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  <c r="AA398" s="235"/>
      <c r="AB398" s="235"/>
      <c r="AC398" s="235"/>
    </row>
    <row r="399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  <c r="AA399" s="235"/>
      <c r="AB399" s="235"/>
      <c r="AC399" s="235"/>
    </row>
    <row r="400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  <c r="AA400" s="235"/>
      <c r="AB400" s="235"/>
      <c r="AC400" s="235"/>
    </row>
    <row r="40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  <c r="Z401" s="235"/>
      <c r="AA401" s="235"/>
      <c r="AB401" s="235"/>
      <c r="AC401" s="235"/>
    </row>
    <row r="402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  <c r="Z402" s="235"/>
      <c r="AA402" s="235"/>
      <c r="AB402" s="235"/>
      <c r="AC402" s="235"/>
    </row>
    <row r="403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  <c r="Z403" s="235"/>
      <c r="AA403" s="235"/>
      <c r="AB403" s="235"/>
      <c r="AC403" s="235"/>
    </row>
    <row r="404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  <c r="Z404" s="235"/>
      <c r="AA404" s="235"/>
      <c r="AB404" s="235"/>
      <c r="AC404" s="235"/>
    </row>
    <row r="405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  <c r="AA405" s="235"/>
      <c r="AB405" s="235"/>
      <c r="AC405" s="235"/>
    </row>
    <row r="406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35"/>
      <c r="W406" s="235"/>
      <c r="X406" s="235"/>
      <c r="Y406" s="235"/>
      <c r="Z406" s="235"/>
      <c r="AA406" s="235"/>
      <c r="AB406" s="235"/>
      <c r="AC406" s="235"/>
    </row>
    <row r="407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  <c r="Z407" s="235"/>
      <c r="AA407" s="235"/>
      <c r="AB407" s="235"/>
      <c r="AC407" s="235"/>
    </row>
    <row r="408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  <c r="AA408" s="235"/>
      <c r="AB408" s="235"/>
      <c r="AC408" s="235"/>
    </row>
    <row r="409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35"/>
      <c r="W409" s="235"/>
      <c r="X409" s="235"/>
      <c r="Y409" s="235"/>
      <c r="Z409" s="235"/>
      <c r="AA409" s="235"/>
      <c r="AB409" s="235"/>
      <c r="AC409" s="235"/>
    </row>
    <row r="410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  <c r="Z410" s="235"/>
      <c r="AA410" s="235"/>
      <c r="AB410" s="235"/>
      <c r="AC410" s="235"/>
    </row>
    <row r="41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35"/>
      <c r="W411" s="235"/>
      <c r="X411" s="235"/>
      <c r="Y411" s="235"/>
      <c r="Z411" s="235"/>
      <c r="AA411" s="235"/>
      <c r="AB411" s="235"/>
      <c r="AC411" s="235"/>
    </row>
    <row r="412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  <c r="Z412" s="235"/>
      <c r="AA412" s="235"/>
      <c r="AB412" s="235"/>
      <c r="AC412" s="235"/>
    </row>
    <row r="413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35"/>
      <c r="W413" s="235"/>
      <c r="X413" s="235"/>
      <c r="Y413" s="235"/>
      <c r="Z413" s="235"/>
      <c r="AA413" s="235"/>
      <c r="AB413" s="235"/>
      <c r="AC413" s="235"/>
    </row>
    <row r="414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  <c r="Z414" s="235"/>
      <c r="AA414" s="235"/>
      <c r="AB414" s="235"/>
      <c r="AC414" s="235"/>
    </row>
    <row r="415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  <c r="Z415" s="235"/>
      <c r="AA415" s="235"/>
      <c r="AB415" s="235"/>
      <c r="AC415" s="235"/>
    </row>
    <row r="416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35"/>
      <c r="W416" s="235"/>
      <c r="X416" s="235"/>
      <c r="Y416" s="235"/>
      <c r="Z416" s="235"/>
      <c r="AA416" s="235"/>
      <c r="AB416" s="235"/>
      <c r="AC416" s="235"/>
    </row>
    <row r="417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  <c r="Z417" s="235"/>
      <c r="AA417" s="235"/>
      <c r="AB417" s="235"/>
      <c r="AC417" s="235"/>
    </row>
    <row r="418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  <c r="Z418" s="235"/>
      <c r="AA418" s="235"/>
      <c r="AB418" s="235"/>
      <c r="AC418" s="235"/>
    </row>
    <row r="419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35"/>
      <c r="W419" s="235"/>
      <c r="X419" s="235"/>
      <c r="Y419" s="235"/>
      <c r="Z419" s="235"/>
      <c r="AA419" s="235"/>
      <c r="AB419" s="235"/>
      <c r="AC419" s="235"/>
    </row>
    <row r="420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  <c r="Z420" s="235"/>
      <c r="AA420" s="235"/>
      <c r="AB420" s="235"/>
      <c r="AC420" s="235"/>
    </row>
    <row r="42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  <c r="Z421" s="235"/>
      <c r="AA421" s="235"/>
      <c r="AB421" s="235"/>
      <c r="AC421" s="235"/>
    </row>
    <row r="422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  <c r="Z422" s="235"/>
      <c r="AA422" s="235"/>
      <c r="AB422" s="235"/>
      <c r="AC422" s="235"/>
    </row>
    <row r="423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35"/>
      <c r="W423" s="235"/>
      <c r="X423" s="235"/>
      <c r="Y423" s="235"/>
      <c r="Z423" s="235"/>
      <c r="AA423" s="235"/>
      <c r="AB423" s="235"/>
      <c r="AC423" s="235"/>
    </row>
    <row r="424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  <c r="Z424" s="235"/>
      <c r="AA424" s="235"/>
      <c r="AB424" s="235"/>
      <c r="AC424" s="235"/>
    </row>
    <row r="425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  <c r="Z425" s="235"/>
      <c r="AA425" s="235"/>
      <c r="AB425" s="235"/>
      <c r="AC425" s="235"/>
    </row>
    <row r="426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  <c r="Z426" s="235"/>
      <c r="AA426" s="235"/>
      <c r="AB426" s="235"/>
      <c r="AC426" s="235"/>
    </row>
    <row r="427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35"/>
      <c r="W427" s="235"/>
      <c r="X427" s="235"/>
      <c r="Y427" s="235"/>
      <c r="Z427" s="235"/>
      <c r="AA427" s="235"/>
      <c r="AB427" s="235"/>
      <c r="AC427" s="235"/>
    </row>
    <row r="428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  <c r="Z428" s="235"/>
      <c r="AA428" s="235"/>
      <c r="AB428" s="235"/>
      <c r="AC428" s="235"/>
    </row>
    <row r="429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35"/>
      <c r="W429" s="235"/>
      <c r="X429" s="235"/>
      <c r="Y429" s="235"/>
      <c r="Z429" s="235"/>
      <c r="AA429" s="235"/>
      <c r="AB429" s="235"/>
      <c r="AC429" s="235"/>
    </row>
    <row r="430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  <c r="Z430" s="235"/>
      <c r="AA430" s="235"/>
      <c r="AB430" s="235"/>
      <c r="AC430" s="235"/>
    </row>
    <row r="43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35"/>
      <c r="W431" s="235"/>
      <c r="X431" s="235"/>
      <c r="Y431" s="235"/>
      <c r="Z431" s="235"/>
      <c r="AA431" s="235"/>
      <c r="AB431" s="235"/>
      <c r="AC431" s="235"/>
    </row>
    <row r="432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  <c r="Z432" s="235"/>
      <c r="AA432" s="235"/>
      <c r="AB432" s="235"/>
      <c r="AC432" s="235"/>
    </row>
    <row r="433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  <c r="AA433" s="235"/>
      <c r="AB433" s="235"/>
      <c r="AC433" s="235"/>
    </row>
    <row r="434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  <c r="AA434" s="235"/>
      <c r="AB434" s="235"/>
      <c r="AC434" s="235"/>
    </row>
    <row r="435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  <c r="AA435" s="235"/>
      <c r="AB435" s="235"/>
      <c r="AC435" s="235"/>
    </row>
    <row r="436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  <c r="AA436" s="235"/>
      <c r="AB436" s="235"/>
      <c r="AC436" s="235"/>
    </row>
    <row r="437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  <c r="AA437" s="235"/>
      <c r="AB437" s="235"/>
      <c r="AC437" s="235"/>
    </row>
    <row r="438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  <c r="AA438" s="235"/>
      <c r="AB438" s="235"/>
      <c r="AC438" s="235"/>
    </row>
    <row r="439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  <c r="AA439" s="235"/>
      <c r="AB439" s="235"/>
      <c r="AC439" s="235"/>
    </row>
    <row r="440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  <c r="AA440" s="235"/>
      <c r="AB440" s="235"/>
      <c r="AC440" s="235"/>
    </row>
    <row r="44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  <c r="AA441" s="235"/>
      <c r="AB441" s="235"/>
      <c r="AC441" s="235"/>
    </row>
    <row r="442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  <c r="AA442" s="235"/>
      <c r="AB442" s="235"/>
      <c r="AC442" s="235"/>
    </row>
    <row r="443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  <c r="AA443" s="235"/>
      <c r="AB443" s="235"/>
      <c r="AC443" s="235"/>
    </row>
    <row r="444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  <c r="AA444" s="235"/>
      <c r="AB444" s="235"/>
      <c r="AC444" s="235"/>
    </row>
    <row r="445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  <c r="AA445" s="235"/>
      <c r="AB445" s="235"/>
      <c r="AC445" s="235"/>
    </row>
    <row r="446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  <c r="Z446" s="235"/>
      <c r="AA446" s="235"/>
      <c r="AB446" s="235"/>
      <c r="AC446" s="235"/>
    </row>
    <row r="447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35"/>
      <c r="W447" s="235"/>
      <c r="X447" s="235"/>
      <c r="Y447" s="235"/>
      <c r="Z447" s="235"/>
      <c r="AA447" s="235"/>
      <c r="AB447" s="235"/>
      <c r="AC447" s="235"/>
    </row>
    <row r="448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35"/>
      <c r="W448" s="235"/>
      <c r="X448" s="235"/>
      <c r="Y448" s="235"/>
      <c r="Z448" s="235"/>
      <c r="AA448" s="235"/>
      <c r="AB448" s="235"/>
      <c r="AC448" s="235"/>
    </row>
    <row r="449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  <c r="Z449" s="235"/>
      <c r="AA449" s="235"/>
      <c r="AB449" s="235"/>
      <c r="AC449" s="235"/>
    </row>
    <row r="450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  <c r="AA450" s="235"/>
      <c r="AB450" s="235"/>
      <c r="AC450" s="235"/>
    </row>
    <row r="45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  <c r="Z451" s="235"/>
      <c r="AA451" s="235"/>
      <c r="AB451" s="235"/>
      <c r="AC451" s="235"/>
    </row>
    <row r="452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  <c r="Z452" s="235"/>
      <c r="AA452" s="235"/>
      <c r="AB452" s="235"/>
      <c r="AC452" s="235"/>
    </row>
    <row r="453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35"/>
      <c r="W453" s="235"/>
      <c r="X453" s="235"/>
      <c r="Y453" s="235"/>
      <c r="Z453" s="235"/>
      <c r="AA453" s="235"/>
      <c r="AB453" s="235"/>
      <c r="AC453" s="235"/>
    </row>
    <row r="454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  <c r="Z454" s="235"/>
      <c r="AA454" s="235"/>
      <c r="AB454" s="235"/>
      <c r="AC454" s="235"/>
    </row>
    <row r="455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  <c r="Z455" s="235"/>
      <c r="AA455" s="235"/>
      <c r="AB455" s="235"/>
      <c r="AC455" s="235"/>
    </row>
    <row r="456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35"/>
      <c r="W456" s="235"/>
      <c r="X456" s="235"/>
      <c r="Y456" s="235"/>
      <c r="Z456" s="235"/>
      <c r="AA456" s="235"/>
      <c r="AB456" s="235"/>
      <c r="AC456" s="235"/>
    </row>
    <row r="457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  <c r="Z457" s="235"/>
      <c r="AA457" s="235"/>
      <c r="AB457" s="235"/>
      <c r="AC457" s="235"/>
    </row>
    <row r="458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35"/>
      <c r="W458" s="235"/>
      <c r="X458" s="235"/>
      <c r="Y458" s="235"/>
      <c r="Z458" s="235"/>
      <c r="AA458" s="235"/>
      <c r="AB458" s="235"/>
      <c r="AC458" s="235"/>
    </row>
    <row r="459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  <c r="Z459" s="235"/>
      <c r="AA459" s="235"/>
      <c r="AB459" s="235"/>
      <c r="AC459" s="235"/>
    </row>
    <row r="460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  <c r="Z460" s="235"/>
      <c r="AA460" s="235"/>
      <c r="AB460" s="235"/>
      <c r="AC460" s="235"/>
    </row>
    <row r="46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  <c r="Z461" s="235"/>
      <c r="AA461" s="235"/>
      <c r="AB461" s="235"/>
      <c r="AC461" s="235"/>
    </row>
    <row r="462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  <c r="Z462" s="235"/>
      <c r="AA462" s="235"/>
      <c r="AB462" s="235"/>
      <c r="AC462" s="235"/>
    </row>
    <row r="463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  <c r="Z463" s="235"/>
      <c r="AA463" s="235"/>
      <c r="AB463" s="235"/>
      <c r="AC463" s="235"/>
    </row>
    <row r="464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  <c r="Z464" s="235"/>
      <c r="AA464" s="235"/>
      <c r="AB464" s="235"/>
      <c r="AC464" s="235"/>
    </row>
    <row r="465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35"/>
      <c r="W465" s="235"/>
      <c r="X465" s="235"/>
      <c r="Y465" s="235"/>
      <c r="Z465" s="235"/>
      <c r="AA465" s="235"/>
      <c r="AB465" s="235"/>
      <c r="AC465" s="235"/>
    </row>
    <row r="466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35"/>
      <c r="W466" s="235"/>
      <c r="X466" s="235"/>
      <c r="Y466" s="235"/>
      <c r="Z466" s="235"/>
      <c r="AA466" s="235"/>
      <c r="AB466" s="235"/>
      <c r="AC466" s="235"/>
    </row>
    <row r="467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  <c r="Z467" s="235"/>
      <c r="AA467" s="235"/>
      <c r="AB467" s="235"/>
      <c r="AC467" s="235"/>
    </row>
    <row r="468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  <c r="Z468" s="235"/>
      <c r="AA468" s="235"/>
      <c r="AB468" s="235"/>
      <c r="AC468" s="235"/>
    </row>
    <row r="469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  <c r="Z469" s="235"/>
      <c r="AA469" s="235"/>
      <c r="AB469" s="235"/>
      <c r="AC469" s="235"/>
    </row>
    <row r="470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  <c r="Z470" s="235"/>
      <c r="AA470" s="235"/>
      <c r="AB470" s="235"/>
      <c r="AC470" s="235"/>
    </row>
    <row r="47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  <c r="Z471" s="235"/>
      <c r="AA471" s="235"/>
      <c r="AB471" s="235"/>
      <c r="AC471" s="235"/>
    </row>
    <row r="472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  <c r="Z472" s="235"/>
      <c r="AA472" s="235"/>
      <c r="AB472" s="235"/>
      <c r="AC472" s="235"/>
    </row>
    <row r="473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  <c r="Z473" s="235"/>
      <c r="AA473" s="235"/>
      <c r="AB473" s="235"/>
      <c r="AC473" s="235"/>
    </row>
    <row r="474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  <c r="AA474" s="235"/>
      <c r="AB474" s="235"/>
      <c r="AC474" s="235"/>
    </row>
    <row r="475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5"/>
      <c r="Y475" s="235"/>
      <c r="Z475" s="235"/>
      <c r="AA475" s="235"/>
      <c r="AB475" s="235"/>
      <c r="AC475" s="235"/>
    </row>
    <row r="476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5"/>
      <c r="Y476" s="235"/>
      <c r="Z476" s="235"/>
      <c r="AA476" s="235"/>
      <c r="AB476" s="235"/>
      <c r="AC476" s="235"/>
    </row>
    <row r="477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5"/>
      <c r="Y477" s="235"/>
      <c r="Z477" s="235"/>
      <c r="AA477" s="235"/>
      <c r="AB477" s="235"/>
      <c r="AC477" s="235"/>
    </row>
    <row r="478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  <c r="Z478" s="235"/>
      <c r="AA478" s="235"/>
      <c r="AB478" s="235"/>
      <c r="AC478" s="235"/>
    </row>
    <row r="479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  <c r="Z479" s="235"/>
      <c r="AA479" s="235"/>
      <c r="AB479" s="235"/>
      <c r="AC479" s="235"/>
    </row>
    <row r="480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  <c r="Z480" s="235"/>
      <c r="AA480" s="235"/>
      <c r="AB480" s="235"/>
      <c r="AC480" s="235"/>
    </row>
    <row r="48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35"/>
      <c r="W481" s="235"/>
      <c r="X481" s="235"/>
      <c r="Y481" s="235"/>
      <c r="Z481" s="235"/>
      <c r="AA481" s="235"/>
      <c r="AB481" s="235"/>
      <c r="AC481" s="235"/>
    </row>
    <row r="482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35"/>
      <c r="W482" s="235"/>
      <c r="X482" s="235"/>
      <c r="Y482" s="235"/>
      <c r="Z482" s="235"/>
      <c r="AA482" s="235"/>
      <c r="AB482" s="235"/>
      <c r="AC482" s="235"/>
    </row>
    <row r="483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  <c r="Z483" s="235"/>
      <c r="AA483" s="235"/>
      <c r="AB483" s="235"/>
      <c r="AC483" s="235"/>
    </row>
    <row r="484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  <c r="Z484" s="235"/>
      <c r="AA484" s="235"/>
      <c r="AB484" s="235"/>
      <c r="AC484" s="235"/>
    </row>
    <row r="485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35"/>
      <c r="W485" s="235"/>
      <c r="X485" s="235"/>
      <c r="Y485" s="235"/>
      <c r="Z485" s="235"/>
      <c r="AA485" s="235"/>
      <c r="AB485" s="235"/>
      <c r="AC485" s="235"/>
    </row>
    <row r="486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35"/>
      <c r="W486" s="235"/>
      <c r="X486" s="235"/>
      <c r="Y486" s="235"/>
      <c r="Z486" s="235"/>
      <c r="AA486" s="235"/>
      <c r="AB486" s="235"/>
      <c r="AC486" s="235"/>
    </row>
    <row r="487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35"/>
      <c r="W487" s="235"/>
      <c r="X487" s="235"/>
      <c r="Y487" s="235"/>
      <c r="Z487" s="235"/>
      <c r="AA487" s="235"/>
      <c r="AB487" s="235"/>
      <c r="AC487" s="235"/>
    </row>
    <row r="488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  <c r="Z488" s="235"/>
      <c r="AA488" s="235"/>
      <c r="AB488" s="235"/>
      <c r="AC488" s="235"/>
    </row>
    <row r="489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  <c r="Z489" s="235"/>
      <c r="AA489" s="235"/>
      <c r="AB489" s="235"/>
      <c r="AC489" s="235"/>
    </row>
    <row r="490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  <c r="Z490" s="235"/>
      <c r="AA490" s="235"/>
      <c r="AB490" s="235"/>
      <c r="AC490" s="235"/>
    </row>
    <row r="49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  <c r="Z491" s="235"/>
      <c r="AA491" s="235"/>
      <c r="AB491" s="235"/>
      <c r="AC491" s="235"/>
    </row>
    <row r="492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  <c r="Z492" s="235"/>
      <c r="AA492" s="235"/>
      <c r="AB492" s="235"/>
      <c r="AC492" s="235"/>
    </row>
    <row r="493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  <c r="Z493" s="235"/>
      <c r="AA493" s="235"/>
      <c r="AB493" s="235"/>
      <c r="AC493" s="235"/>
    </row>
    <row r="494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  <c r="Z494" s="235"/>
      <c r="AA494" s="235"/>
      <c r="AB494" s="235"/>
      <c r="AC494" s="235"/>
    </row>
    <row r="495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  <c r="Z495" s="235"/>
      <c r="AA495" s="235"/>
      <c r="AB495" s="235"/>
      <c r="AC495" s="235"/>
    </row>
    <row r="496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35"/>
      <c r="W496" s="235"/>
      <c r="X496" s="235"/>
      <c r="Y496" s="235"/>
      <c r="Z496" s="235"/>
      <c r="AA496" s="235"/>
      <c r="AB496" s="235"/>
      <c r="AC496" s="235"/>
    </row>
    <row r="497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5"/>
      <c r="Z497" s="235"/>
      <c r="AA497" s="235"/>
      <c r="AB497" s="235"/>
      <c r="AC497" s="235"/>
    </row>
    <row r="498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  <c r="Z498" s="235"/>
      <c r="AA498" s="235"/>
      <c r="AB498" s="235"/>
      <c r="AC498" s="235"/>
    </row>
    <row r="499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35"/>
      <c r="W499" s="235"/>
      <c r="X499" s="235"/>
      <c r="Y499" s="235"/>
      <c r="Z499" s="235"/>
      <c r="AA499" s="235"/>
      <c r="AB499" s="235"/>
      <c r="AC499" s="235"/>
    </row>
    <row r="500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  <c r="Z500" s="235"/>
      <c r="AA500" s="235"/>
      <c r="AB500" s="235"/>
      <c r="AC500" s="235"/>
    </row>
    <row r="50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35"/>
      <c r="W501" s="235"/>
      <c r="X501" s="235"/>
      <c r="Y501" s="235"/>
      <c r="Z501" s="235"/>
      <c r="AA501" s="235"/>
      <c r="AB501" s="235"/>
      <c r="AC501" s="235"/>
    </row>
    <row r="502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  <c r="Z502" s="235"/>
      <c r="AA502" s="235"/>
      <c r="AB502" s="235"/>
      <c r="AC502" s="235"/>
    </row>
    <row r="503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  <c r="Z503" s="235"/>
      <c r="AA503" s="235"/>
      <c r="AB503" s="235"/>
      <c r="AC503" s="235"/>
    </row>
    <row r="504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  <c r="AA504" s="235"/>
      <c r="AB504" s="235"/>
      <c r="AC504" s="235"/>
    </row>
    <row r="505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35"/>
      <c r="W505" s="235"/>
      <c r="X505" s="235"/>
      <c r="Y505" s="235"/>
      <c r="Z505" s="235"/>
      <c r="AA505" s="235"/>
      <c r="AB505" s="235"/>
      <c r="AC505" s="235"/>
    </row>
    <row r="506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35"/>
      <c r="W506" s="235"/>
      <c r="X506" s="235"/>
      <c r="Y506" s="235"/>
      <c r="Z506" s="235"/>
      <c r="AA506" s="235"/>
      <c r="AB506" s="235"/>
      <c r="AC506" s="235"/>
    </row>
    <row r="507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35"/>
      <c r="W507" s="235"/>
      <c r="X507" s="235"/>
      <c r="Y507" s="235"/>
      <c r="Z507" s="235"/>
      <c r="AA507" s="235"/>
      <c r="AB507" s="235"/>
      <c r="AC507" s="235"/>
    </row>
    <row r="508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35"/>
      <c r="W508" s="235"/>
      <c r="X508" s="235"/>
      <c r="Y508" s="235"/>
      <c r="Z508" s="235"/>
      <c r="AA508" s="235"/>
      <c r="AB508" s="235"/>
      <c r="AC508" s="235"/>
    </row>
    <row r="509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35"/>
      <c r="W509" s="235"/>
      <c r="X509" s="235"/>
      <c r="Y509" s="235"/>
      <c r="Z509" s="235"/>
      <c r="AA509" s="235"/>
      <c r="AB509" s="235"/>
      <c r="AC509" s="235"/>
    </row>
    <row r="510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35"/>
      <c r="W510" s="235"/>
      <c r="X510" s="235"/>
      <c r="Y510" s="235"/>
      <c r="Z510" s="235"/>
      <c r="AA510" s="235"/>
      <c r="AB510" s="235"/>
      <c r="AC510" s="235"/>
    </row>
    <row r="51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  <c r="AA511" s="235"/>
      <c r="AB511" s="235"/>
      <c r="AC511" s="235"/>
    </row>
    <row r="512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35"/>
      <c r="W512" s="235"/>
      <c r="X512" s="235"/>
      <c r="Y512" s="235"/>
      <c r="Z512" s="235"/>
      <c r="AA512" s="235"/>
      <c r="AB512" s="235"/>
      <c r="AC512" s="235"/>
    </row>
    <row r="513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35"/>
      <c r="W513" s="235"/>
      <c r="X513" s="235"/>
      <c r="Y513" s="235"/>
      <c r="Z513" s="235"/>
      <c r="AA513" s="235"/>
      <c r="AB513" s="235"/>
      <c r="AC513" s="235"/>
    </row>
    <row r="514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35"/>
      <c r="W514" s="235"/>
      <c r="X514" s="235"/>
      <c r="Y514" s="235"/>
      <c r="Z514" s="235"/>
      <c r="AA514" s="235"/>
      <c r="AB514" s="235"/>
      <c r="AC514" s="235"/>
    </row>
    <row r="515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35"/>
      <c r="W515" s="235"/>
      <c r="X515" s="235"/>
      <c r="Y515" s="235"/>
      <c r="Z515" s="235"/>
      <c r="AA515" s="235"/>
      <c r="AB515" s="235"/>
      <c r="AC515" s="235"/>
    </row>
    <row r="516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35"/>
      <c r="W516" s="235"/>
      <c r="X516" s="235"/>
      <c r="Y516" s="235"/>
      <c r="Z516" s="235"/>
      <c r="AA516" s="235"/>
      <c r="AB516" s="235"/>
      <c r="AC516" s="235"/>
    </row>
    <row r="517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35"/>
      <c r="W517" s="235"/>
      <c r="X517" s="235"/>
      <c r="Y517" s="235"/>
      <c r="Z517" s="235"/>
      <c r="AA517" s="235"/>
      <c r="AB517" s="235"/>
      <c r="AC517" s="235"/>
    </row>
    <row r="518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35"/>
      <c r="W518" s="235"/>
      <c r="X518" s="235"/>
      <c r="Y518" s="235"/>
      <c r="Z518" s="235"/>
      <c r="AA518" s="235"/>
      <c r="AB518" s="235"/>
      <c r="AC518" s="235"/>
    </row>
    <row r="519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35"/>
      <c r="W519" s="235"/>
      <c r="X519" s="235"/>
      <c r="Y519" s="235"/>
      <c r="Z519" s="235"/>
      <c r="AA519" s="235"/>
      <c r="AB519" s="235"/>
      <c r="AC519" s="235"/>
    </row>
    <row r="520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35"/>
      <c r="W520" s="235"/>
      <c r="X520" s="235"/>
      <c r="Y520" s="235"/>
      <c r="Z520" s="235"/>
      <c r="AA520" s="235"/>
      <c r="AB520" s="235"/>
      <c r="AC520" s="235"/>
    </row>
    <row r="52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35"/>
      <c r="W521" s="235"/>
      <c r="X521" s="235"/>
      <c r="Y521" s="235"/>
      <c r="Z521" s="235"/>
      <c r="AA521" s="235"/>
      <c r="AB521" s="235"/>
      <c r="AC521" s="235"/>
    </row>
    <row r="522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35"/>
      <c r="W522" s="235"/>
      <c r="X522" s="235"/>
      <c r="Y522" s="235"/>
      <c r="Z522" s="235"/>
      <c r="AA522" s="235"/>
      <c r="AB522" s="235"/>
      <c r="AC522" s="235"/>
    </row>
    <row r="523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35"/>
      <c r="W523" s="235"/>
      <c r="X523" s="235"/>
      <c r="Y523" s="235"/>
      <c r="Z523" s="235"/>
      <c r="AA523" s="235"/>
      <c r="AB523" s="235"/>
      <c r="AC523" s="235"/>
    </row>
    <row r="524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35"/>
      <c r="W524" s="235"/>
      <c r="X524" s="235"/>
      <c r="Y524" s="235"/>
      <c r="Z524" s="235"/>
      <c r="AA524" s="235"/>
      <c r="AB524" s="235"/>
      <c r="AC524" s="235"/>
    </row>
    <row r="525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35"/>
      <c r="W525" s="235"/>
      <c r="X525" s="235"/>
      <c r="Y525" s="235"/>
      <c r="Z525" s="235"/>
      <c r="AA525" s="235"/>
      <c r="AB525" s="235"/>
      <c r="AC525" s="235"/>
    </row>
    <row r="526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35"/>
      <c r="W526" s="235"/>
      <c r="X526" s="235"/>
      <c r="Y526" s="235"/>
      <c r="Z526" s="235"/>
      <c r="AA526" s="235"/>
      <c r="AB526" s="235"/>
      <c r="AC526" s="235"/>
    </row>
    <row r="527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35"/>
      <c r="W527" s="235"/>
      <c r="X527" s="235"/>
      <c r="Y527" s="235"/>
      <c r="Z527" s="235"/>
      <c r="AA527" s="235"/>
      <c r="AB527" s="235"/>
      <c r="AC527" s="235"/>
    </row>
    <row r="528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35"/>
      <c r="W528" s="235"/>
      <c r="X528" s="235"/>
      <c r="Y528" s="235"/>
      <c r="Z528" s="235"/>
      <c r="AA528" s="235"/>
      <c r="AB528" s="235"/>
      <c r="AC528" s="235"/>
    </row>
    <row r="529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35"/>
      <c r="W529" s="235"/>
      <c r="X529" s="235"/>
      <c r="Y529" s="235"/>
      <c r="Z529" s="235"/>
      <c r="AA529" s="235"/>
      <c r="AB529" s="235"/>
      <c r="AC529" s="235"/>
    </row>
    <row r="530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35"/>
      <c r="W530" s="235"/>
      <c r="X530" s="235"/>
      <c r="Y530" s="235"/>
      <c r="Z530" s="235"/>
      <c r="AA530" s="235"/>
      <c r="AB530" s="235"/>
      <c r="AC530" s="235"/>
    </row>
    <row r="53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35"/>
      <c r="W531" s="235"/>
      <c r="X531" s="235"/>
      <c r="Y531" s="235"/>
      <c r="Z531" s="235"/>
      <c r="AA531" s="235"/>
      <c r="AB531" s="235"/>
      <c r="AC531" s="235"/>
    </row>
    <row r="532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35"/>
      <c r="W532" s="235"/>
      <c r="X532" s="235"/>
      <c r="Y532" s="235"/>
      <c r="Z532" s="235"/>
      <c r="AA532" s="235"/>
      <c r="AB532" s="235"/>
      <c r="AC532" s="235"/>
    </row>
    <row r="533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35"/>
      <c r="W533" s="235"/>
      <c r="X533" s="235"/>
      <c r="Y533" s="235"/>
      <c r="Z533" s="235"/>
      <c r="AA533" s="235"/>
      <c r="AB533" s="235"/>
      <c r="AC533" s="235"/>
    </row>
    <row r="534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35"/>
      <c r="W534" s="235"/>
      <c r="X534" s="235"/>
      <c r="Y534" s="235"/>
      <c r="Z534" s="235"/>
      <c r="AA534" s="235"/>
      <c r="AB534" s="235"/>
      <c r="AC534" s="235"/>
    </row>
    <row r="535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35"/>
      <c r="W535" s="235"/>
      <c r="X535" s="235"/>
      <c r="Y535" s="235"/>
      <c r="Z535" s="235"/>
      <c r="AA535" s="235"/>
      <c r="AB535" s="235"/>
      <c r="AC535" s="235"/>
    </row>
    <row r="536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35"/>
      <c r="W536" s="235"/>
      <c r="X536" s="235"/>
      <c r="Y536" s="235"/>
      <c r="Z536" s="235"/>
      <c r="AA536" s="235"/>
      <c r="AB536" s="235"/>
      <c r="AC536" s="235"/>
    </row>
    <row r="537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35"/>
      <c r="W537" s="235"/>
      <c r="X537" s="235"/>
      <c r="Y537" s="235"/>
      <c r="Z537" s="235"/>
      <c r="AA537" s="235"/>
      <c r="AB537" s="235"/>
      <c r="AC537" s="235"/>
    </row>
    <row r="538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35"/>
      <c r="W538" s="235"/>
      <c r="X538" s="235"/>
      <c r="Y538" s="235"/>
      <c r="Z538" s="235"/>
      <c r="AA538" s="235"/>
      <c r="AB538" s="235"/>
      <c r="AC538" s="235"/>
    </row>
    <row r="539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  <c r="AA539" s="235"/>
      <c r="AB539" s="235"/>
      <c r="AC539" s="235"/>
    </row>
    <row r="540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35"/>
      <c r="W540" s="235"/>
      <c r="X540" s="235"/>
      <c r="Y540" s="235"/>
      <c r="Z540" s="235"/>
      <c r="AA540" s="235"/>
      <c r="AB540" s="235"/>
      <c r="AC540" s="235"/>
    </row>
    <row r="54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35"/>
      <c r="W541" s="235"/>
      <c r="X541" s="235"/>
      <c r="Y541" s="235"/>
      <c r="Z541" s="235"/>
      <c r="AA541" s="235"/>
      <c r="AB541" s="235"/>
      <c r="AC541" s="235"/>
    </row>
    <row r="542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35"/>
      <c r="W542" s="235"/>
      <c r="X542" s="235"/>
      <c r="Y542" s="235"/>
      <c r="Z542" s="235"/>
      <c r="AA542" s="235"/>
      <c r="AB542" s="235"/>
      <c r="AC542" s="235"/>
    </row>
    <row r="543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35"/>
      <c r="W543" s="235"/>
      <c r="X543" s="235"/>
      <c r="Y543" s="235"/>
      <c r="Z543" s="235"/>
      <c r="AA543" s="235"/>
      <c r="AB543" s="235"/>
      <c r="AC543" s="235"/>
    </row>
    <row r="544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35"/>
      <c r="W544" s="235"/>
      <c r="X544" s="235"/>
      <c r="Y544" s="235"/>
      <c r="Z544" s="235"/>
      <c r="AA544" s="235"/>
      <c r="AB544" s="235"/>
      <c r="AC544" s="235"/>
    </row>
    <row r="545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35"/>
      <c r="W545" s="235"/>
      <c r="X545" s="235"/>
      <c r="Y545" s="235"/>
      <c r="Z545" s="235"/>
      <c r="AA545" s="235"/>
      <c r="AB545" s="235"/>
      <c r="AC545" s="235"/>
    </row>
    <row r="546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35"/>
      <c r="W546" s="235"/>
      <c r="X546" s="235"/>
      <c r="Y546" s="235"/>
      <c r="Z546" s="235"/>
      <c r="AA546" s="235"/>
      <c r="AB546" s="235"/>
      <c r="AC546" s="235"/>
    </row>
    <row r="547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35"/>
      <c r="W547" s="235"/>
      <c r="X547" s="235"/>
      <c r="Y547" s="235"/>
      <c r="Z547" s="235"/>
      <c r="AA547" s="235"/>
      <c r="AB547" s="235"/>
      <c r="AC547" s="235"/>
    </row>
    <row r="548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35"/>
      <c r="W548" s="235"/>
      <c r="X548" s="235"/>
      <c r="Y548" s="235"/>
      <c r="Z548" s="235"/>
      <c r="AA548" s="235"/>
      <c r="AB548" s="235"/>
      <c r="AC548" s="235"/>
    </row>
    <row r="549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35"/>
      <c r="W549" s="235"/>
      <c r="X549" s="235"/>
      <c r="Y549" s="235"/>
      <c r="Z549" s="235"/>
      <c r="AA549" s="235"/>
      <c r="AB549" s="235"/>
      <c r="AC549" s="235"/>
    </row>
    <row r="550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35"/>
      <c r="W550" s="235"/>
      <c r="X550" s="235"/>
      <c r="Y550" s="235"/>
      <c r="Z550" s="235"/>
      <c r="AA550" s="235"/>
      <c r="AB550" s="235"/>
      <c r="AC550" s="235"/>
    </row>
    <row r="55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35"/>
      <c r="W551" s="235"/>
      <c r="X551" s="235"/>
      <c r="Y551" s="235"/>
      <c r="Z551" s="235"/>
      <c r="AA551" s="235"/>
      <c r="AB551" s="235"/>
      <c r="AC551" s="235"/>
    </row>
    <row r="552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35"/>
      <c r="W552" s="235"/>
      <c r="X552" s="235"/>
      <c r="Y552" s="235"/>
      <c r="Z552" s="235"/>
      <c r="AA552" s="235"/>
      <c r="AB552" s="235"/>
      <c r="AC552" s="235"/>
    </row>
    <row r="553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35"/>
      <c r="W553" s="235"/>
      <c r="X553" s="235"/>
      <c r="Y553" s="235"/>
      <c r="Z553" s="235"/>
      <c r="AA553" s="235"/>
      <c r="AB553" s="235"/>
      <c r="AC553" s="235"/>
    </row>
    <row r="554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35"/>
      <c r="W554" s="235"/>
      <c r="X554" s="235"/>
      <c r="Y554" s="235"/>
      <c r="Z554" s="235"/>
      <c r="AA554" s="235"/>
      <c r="AB554" s="235"/>
      <c r="AC554" s="235"/>
    </row>
    <row r="555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35"/>
      <c r="W555" s="235"/>
      <c r="X555" s="235"/>
      <c r="Y555" s="235"/>
      <c r="Z555" s="235"/>
      <c r="AA555" s="235"/>
      <c r="AB555" s="235"/>
      <c r="AC555" s="235"/>
    </row>
    <row r="556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35"/>
      <c r="W556" s="235"/>
      <c r="X556" s="235"/>
      <c r="Y556" s="235"/>
      <c r="Z556" s="235"/>
      <c r="AA556" s="235"/>
      <c r="AB556" s="235"/>
      <c r="AC556" s="235"/>
    </row>
    <row r="557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35"/>
      <c r="W557" s="235"/>
      <c r="X557" s="235"/>
      <c r="Y557" s="235"/>
      <c r="Z557" s="235"/>
      <c r="AA557" s="235"/>
      <c r="AB557" s="235"/>
      <c r="AC557" s="235"/>
    </row>
    <row r="558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35"/>
      <c r="W558" s="235"/>
      <c r="X558" s="235"/>
      <c r="Y558" s="235"/>
      <c r="Z558" s="235"/>
      <c r="AA558" s="235"/>
      <c r="AB558" s="235"/>
      <c r="AC558" s="235"/>
    </row>
    <row r="559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35"/>
      <c r="W559" s="235"/>
      <c r="X559" s="235"/>
      <c r="Y559" s="235"/>
      <c r="Z559" s="235"/>
      <c r="AA559" s="235"/>
      <c r="AB559" s="235"/>
      <c r="AC559" s="235"/>
    </row>
    <row r="560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35"/>
      <c r="W560" s="235"/>
      <c r="X560" s="235"/>
      <c r="Y560" s="235"/>
      <c r="Z560" s="235"/>
      <c r="AA560" s="235"/>
      <c r="AB560" s="235"/>
      <c r="AC560" s="235"/>
    </row>
    <row r="56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35"/>
      <c r="W561" s="235"/>
      <c r="X561" s="235"/>
      <c r="Y561" s="235"/>
      <c r="Z561" s="235"/>
      <c r="AA561" s="235"/>
      <c r="AB561" s="235"/>
      <c r="AC561" s="235"/>
    </row>
    <row r="562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35"/>
      <c r="W562" s="235"/>
      <c r="X562" s="235"/>
      <c r="Y562" s="235"/>
      <c r="Z562" s="235"/>
      <c r="AA562" s="235"/>
      <c r="AB562" s="235"/>
      <c r="AC562" s="235"/>
    </row>
    <row r="563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35"/>
      <c r="W563" s="235"/>
      <c r="X563" s="235"/>
      <c r="Y563" s="235"/>
      <c r="Z563" s="235"/>
      <c r="AA563" s="235"/>
      <c r="AB563" s="235"/>
      <c r="AC563" s="235"/>
    </row>
    <row r="564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35"/>
      <c r="W564" s="235"/>
      <c r="X564" s="235"/>
      <c r="Y564" s="235"/>
      <c r="Z564" s="235"/>
      <c r="AA564" s="235"/>
      <c r="AB564" s="235"/>
      <c r="AC564" s="235"/>
    </row>
    <row r="565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35"/>
      <c r="W565" s="235"/>
      <c r="X565" s="235"/>
      <c r="Y565" s="235"/>
      <c r="Z565" s="235"/>
      <c r="AA565" s="235"/>
      <c r="AB565" s="235"/>
      <c r="AC565" s="235"/>
    </row>
    <row r="566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35"/>
      <c r="W566" s="235"/>
      <c r="X566" s="235"/>
      <c r="Y566" s="235"/>
      <c r="Z566" s="235"/>
      <c r="AA566" s="235"/>
      <c r="AB566" s="235"/>
      <c r="AC566" s="235"/>
    </row>
    <row r="567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35"/>
      <c r="W567" s="235"/>
      <c r="X567" s="235"/>
      <c r="Y567" s="235"/>
      <c r="Z567" s="235"/>
      <c r="AA567" s="235"/>
      <c r="AB567" s="235"/>
      <c r="AC567" s="235"/>
    </row>
    <row r="568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35"/>
      <c r="W568" s="235"/>
      <c r="X568" s="235"/>
      <c r="Y568" s="235"/>
      <c r="Z568" s="235"/>
      <c r="AA568" s="235"/>
      <c r="AB568" s="235"/>
      <c r="AC568" s="235"/>
    </row>
    <row r="569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35"/>
      <c r="W569" s="235"/>
      <c r="X569" s="235"/>
      <c r="Y569" s="235"/>
      <c r="Z569" s="235"/>
      <c r="AA569" s="235"/>
      <c r="AB569" s="235"/>
      <c r="AC569" s="235"/>
    </row>
    <row r="570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35"/>
      <c r="W570" s="235"/>
      <c r="X570" s="235"/>
      <c r="Y570" s="235"/>
      <c r="Z570" s="235"/>
      <c r="AA570" s="235"/>
      <c r="AB570" s="235"/>
      <c r="AC570" s="235"/>
    </row>
    <row r="57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35"/>
      <c r="W571" s="235"/>
      <c r="X571" s="235"/>
      <c r="Y571" s="235"/>
      <c r="Z571" s="235"/>
      <c r="AA571" s="235"/>
      <c r="AB571" s="235"/>
      <c r="AC571" s="235"/>
    </row>
    <row r="572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35"/>
      <c r="W572" s="235"/>
      <c r="X572" s="235"/>
      <c r="Y572" s="235"/>
      <c r="Z572" s="235"/>
      <c r="AA572" s="235"/>
      <c r="AB572" s="235"/>
      <c r="AC572" s="235"/>
    </row>
    <row r="573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35"/>
      <c r="W573" s="235"/>
      <c r="X573" s="235"/>
      <c r="Y573" s="235"/>
      <c r="Z573" s="235"/>
      <c r="AA573" s="235"/>
      <c r="AB573" s="235"/>
      <c r="AC573" s="235"/>
    </row>
    <row r="574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35"/>
      <c r="W574" s="235"/>
      <c r="X574" s="235"/>
      <c r="Y574" s="235"/>
      <c r="Z574" s="235"/>
      <c r="AA574" s="235"/>
      <c r="AB574" s="235"/>
      <c r="AC574" s="235"/>
    </row>
    <row r="575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35"/>
      <c r="W575" s="235"/>
      <c r="X575" s="235"/>
      <c r="Y575" s="235"/>
      <c r="Z575" s="235"/>
      <c r="AA575" s="235"/>
      <c r="AB575" s="235"/>
      <c r="AC575" s="235"/>
    </row>
    <row r="576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35"/>
      <c r="W576" s="235"/>
      <c r="X576" s="235"/>
      <c r="Y576" s="235"/>
      <c r="Z576" s="235"/>
      <c r="AA576" s="235"/>
      <c r="AB576" s="235"/>
      <c r="AC576" s="235"/>
    </row>
    <row r="577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35"/>
      <c r="W577" s="235"/>
      <c r="X577" s="235"/>
      <c r="Y577" s="235"/>
      <c r="Z577" s="235"/>
      <c r="AA577" s="235"/>
      <c r="AB577" s="235"/>
      <c r="AC577" s="235"/>
    </row>
    <row r="578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35"/>
      <c r="W578" s="235"/>
      <c r="X578" s="235"/>
      <c r="Y578" s="235"/>
      <c r="Z578" s="235"/>
      <c r="AA578" s="235"/>
      <c r="AB578" s="235"/>
      <c r="AC578" s="235"/>
    </row>
    <row r="579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35"/>
      <c r="W579" s="235"/>
      <c r="X579" s="235"/>
      <c r="Y579" s="235"/>
      <c r="Z579" s="235"/>
      <c r="AA579" s="235"/>
      <c r="AB579" s="235"/>
      <c r="AC579" s="235"/>
    </row>
    <row r="580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35"/>
      <c r="W580" s="235"/>
      <c r="X580" s="235"/>
      <c r="Y580" s="235"/>
      <c r="Z580" s="235"/>
      <c r="AA580" s="235"/>
      <c r="AB580" s="235"/>
      <c r="AC580" s="235"/>
    </row>
    <row r="58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35"/>
      <c r="W581" s="235"/>
      <c r="X581" s="235"/>
      <c r="Y581" s="235"/>
      <c r="Z581" s="235"/>
      <c r="AA581" s="235"/>
      <c r="AB581" s="235"/>
      <c r="AC581" s="235"/>
    </row>
    <row r="582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35"/>
      <c r="W582" s="235"/>
      <c r="X582" s="235"/>
      <c r="Y582" s="235"/>
      <c r="Z582" s="235"/>
      <c r="AA582" s="235"/>
      <c r="AB582" s="235"/>
      <c r="AC582" s="235"/>
    </row>
    <row r="583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35"/>
      <c r="W583" s="235"/>
      <c r="X583" s="235"/>
      <c r="Y583" s="235"/>
      <c r="Z583" s="235"/>
      <c r="AA583" s="235"/>
      <c r="AB583" s="235"/>
      <c r="AC583" s="235"/>
    </row>
    <row r="584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35"/>
      <c r="W584" s="235"/>
      <c r="X584" s="235"/>
      <c r="Y584" s="235"/>
      <c r="Z584" s="235"/>
      <c r="AA584" s="235"/>
      <c r="AB584" s="235"/>
      <c r="AC584" s="235"/>
    </row>
    <row r="585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  <c r="AA585" s="235"/>
      <c r="AB585" s="235"/>
      <c r="AC585" s="235"/>
    </row>
    <row r="586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35"/>
      <c r="W586" s="235"/>
      <c r="X586" s="235"/>
      <c r="Y586" s="235"/>
      <c r="Z586" s="235"/>
      <c r="AA586" s="235"/>
      <c r="AB586" s="235"/>
      <c r="AC586" s="235"/>
    </row>
    <row r="587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35"/>
      <c r="W587" s="235"/>
      <c r="X587" s="235"/>
      <c r="Y587" s="235"/>
      <c r="Z587" s="235"/>
      <c r="AA587" s="235"/>
      <c r="AB587" s="235"/>
      <c r="AC587" s="235"/>
    </row>
    <row r="588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  <c r="AA588" s="235"/>
      <c r="AB588" s="235"/>
      <c r="AC588" s="235"/>
    </row>
    <row r="589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35"/>
      <c r="W589" s="235"/>
      <c r="X589" s="235"/>
      <c r="Y589" s="235"/>
      <c r="Z589" s="235"/>
      <c r="AA589" s="235"/>
      <c r="AB589" s="235"/>
      <c r="AC589" s="235"/>
    </row>
    <row r="590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35"/>
      <c r="W590" s="235"/>
      <c r="X590" s="235"/>
      <c r="Y590" s="235"/>
      <c r="Z590" s="235"/>
      <c r="AA590" s="235"/>
      <c r="AB590" s="235"/>
      <c r="AC590" s="235"/>
    </row>
    <row r="59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35"/>
      <c r="W591" s="235"/>
      <c r="X591" s="235"/>
      <c r="Y591" s="235"/>
      <c r="Z591" s="235"/>
      <c r="AA591" s="235"/>
      <c r="AB591" s="235"/>
      <c r="AC591" s="235"/>
    </row>
    <row r="592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35"/>
      <c r="W592" s="235"/>
      <c r="X592" s="235"/>
      <c r="Y592" s="235"/>
      <c r="Z592" s="235"/>
      <c r="AA592" s="235"/>
      <c r="AB592" s="235"/>
      <c r="AC592" s="235"/>
    </row>
    <row r="593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35"/>
      <c r="W593" s="235"/>
      <c r="X593" s="235"/>
      <c r="Y593" s="235"/>
      <c r="Z593" s="235"/>
      <c r="AA593" s="235"/>
      <c r="AB593" s="235"/>
      <c r="AC593" s="235"/>
    </row>
    <row r="594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35"/>
      <c r="W594" s="235"/>
      <c r="X594" s="235"/>
      <c r="Y594" s="235"/>
      <c r="Z594" s="235"/>
      <c r="AA594" s="235"/>
      <c r="AB594" s="235"/>
      <c r="AC594" s="235"/>
    </row>
    <row r="595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35"/>
      <c r="W595" s="235"/>
      <c r="X595" s="235"/>
      <c r="Y595" s="235"/>
      <c r="Z595" s="235"/>
      <c r="AA595" s="235"/>
      <c r="AB595" s="235"/>
      <c r="AC595" s="235"/>
    </row>
    <row r="596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35"/>
      <c r="W596" s="235"/>
      <c r="X596" s="235"/>
      <c r="Y596" s="235"/>
      <c r="Z596" s="235"/>
      <c r="AA596" s="235"/>
      <c r="AB596" s="235"/>
      <c r="AC596" s="235"/>
    </row>
    <row r="597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35"/>
      <c r="W597" s="235"/>
      <c r="X597" s="235"/>
      <c r="Y597" s="235"/>
      <c r="Z597" s="235"/>
      <c r="AA597" s="235"/>
      <c r="AB597" s="235"/>
      <c r="AC597" s="235"/>
    </row>
    <row r="598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35"/>
      <c r="W598" s="235"/>
      <c r="X598" s="235"/>
      <c r="Y598" s="235"/>
      <c r="Z598" s="235"/>
      <c r="AA598" s="235"/>
      <c r="AB598" s="235"/>
      <c r="AC598" s="235"/>
    </row>
    <row r="599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35"/>
      <c r="W599" s="235"/>
      <c r="X599" s="235"/>
      <c r="Y599" s="235"/>
      <c r="Z599" s="235"/>
      <c r="AA599" s="235"/>
      <c r="AB599" s="235"/>
      <c r="AC599" s="235"/>
    </row>
    <row r="600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35"/>
      <c r="W600" s="235"/>
      <c r="X600" s="235"/>
      <c r="Y600" s="235"/>
      <c r="Z600" s="235"/>
      <c r="AA600" s="235"/>
      <c r="AB600" s="235"/>
      <c r="AC600" s="235"/>
    </row>
    <row r="60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35"/>
      <c r="W601" s="235"/>
      <c r="X601" s="235"/>
      <c r="Y601" s="235"/>
      <c r="Z601" s="235"/>
      <c r="AA601" s="235"/>
      <c r="AB601" s="235"/>
      <c r="AC601" s="235"/>
    </row>
    <row r="602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35"/>
      <c r="W602" s="235"/>
      <c r="X602" s="235"/>
      <c r="Y602" s="235"/>
      <c r="Z602" s="235"/>
      <c r="AA602" s="235"/>
      <c r="AB602" s="235"/>
      <c r="AC602" s="235"/>
    </row>
    <row r="603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  <c r="AA603" s="235"/>
      <c r="AB603" s="235"/>
      <c r="AC603" s="235"/>
    </row>
    <row r="604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35"/>
      <c r="W604" s="235"/>
      <c r="X604" s="235"/>
      <c r="Y604" s="235"/>
      <c r="Z604" s="235"/>
      <c r="AA604" s="235"/>
      <c r="AB604" s="235"/>
      <c r="AC604" s="235"/>
    </row>
    <row r="605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35"/>
      <c r="W605" s="235"/>
      <c r="X605" s="235"/>
      <c r="Y605" s="235"/>
      <c r="Z605" s="235"/>
      <c r="AA605" s="235"/>
      <c r="AB605" s="235"/>
      <c r="AC605" s="235"/>
    </row>
    <row r="606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35"/>
      <c r="W606" s="235"/>
      <c r="X606" s="235"/>
      <c r="Y606" s="235"/>
      <c r="Z606" s="235"/>
      <c r="AA606" s="235"/>
      <c r="AB606" s="235"/>
      <c r="AC606" s="235"/>
    </row>
    <row r="607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  <c r="AA607" s="235"/>
      <c r="AB607" s="235"/>
      <c r="AC607" s="235"/>
    </row>
    <row r="608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35"/>
      <c r="W608" s="235"/>
      <c r="X608" s="235"/>
      <c r="Y608" s="235"/>
      <c r="Z608" s="235"/>
      <c r="AA608" s="235"/>
      <c r="AB608" s="235"/>
      <c r="AC608" s="235"/>
    </row>
    <row r="609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35"/>
      <c r="W609" s="235"/>
      <c r="X609" s="235"/>
      <c r="Y609" s="235"/>
      <c r="Z609" s="235"/>
      <c r="AA609" s="235"/>
      <c r="AB609" s="235"/>
      <c r="AC609" s="235"/>
    </row>
    <row r="610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35"/>
      <c r="W610" s="235"/>
      <c r="X610" s="235"/>
      <c r="Y610" s="235"/>
      <c r="Z610" s="235"/>
      <c r="AA610" s="235"/>
      <c r="AB610" s="235"/>
      <c r="AC610" s="235"/>
    </row>
    <row r="61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35"/>
      <c r="W611" s="235"/>
      <c r="X611" s="235"/>
      <c r="Y611" s="235"/>
      <c r="Z611" s="235"/>
      <c r="AA611" s="235"/>
      <c r="AB611" s="235"/>
      <c r="AC611" s="235"/>
    </row>
    <row r="612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35"/>
      <c r="W612" s="235"/>
      <c r="X612" s="235"/>
      <c r="Y612" s="235"/>
      <c r="Z612" s="235"/>
      <c r="AA612" s="235"/>
      <c r="AB612" s="235"/>
      <c r="AC612" s="235"/>
    </row>
    <row r="613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35"/>
      <c r="W613" s="235"/>
      <c r="X613" s="235"/>
      <c r="Y613" s="235"/>
      <c r="Z613" s="235"/>
      <c r="AA613" s="235"/>
      <c r="AB613" s="235"/>
      <c r="AC613" s="235"/>
    </row>
    <row r="614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35"/>
      <c r="W614" s="235"/>
      <c r="X614" s="235"/>
      <c r="Y614" s="235"/>
      <c r="Z614" s="235"/>
      <c r="AA614" s="235"/>
      <c r="AB614" s="235"/>
      <c r="AC614" s="235"/>
    </row>
    <row r="615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35"/>
      <c r="W615" s="235"/>
      <c r="X615" s="235"/>
      <c r="Y615" s="235"/>
      <c r="Z615" s="235"/>
      <c r="AA615" s="235"/>
      <c r="AB615" s="235"/>
      <c r="AC615" s="235"/>
    </row>
    <row r="616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35"/>
      <c r="W616" s="235"/>
      <c r="X616" s="235"/>
      <c r="Y616" s="235"/>
      <c r="Z616" s="235"/>
      <c r="AA616" s="235"/>
      <c r="AB616" s="235"/>
      <c r="AC616" s="235"/>
    </row>
    <row r="617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35"/>
      <c r="W617" s="235"/>
      <c r="X617" s="235"/>
      <c r="Y617" s="235"/>
      <c r="Z617" s="235"/>
      <c r="AA617" s="235"/>
      <c r="AB617" s="235"/>
      <c r="AC617" s="235"/>
    </row>
    <row r="618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35"/>
      <c r="W618" s="235"/>
      <c r="X618" s="235"/>
      <c r="Y618" s="235"/>
      <c r="Z618" s="235"/>
      <c r="AA618" s="235"/>
      <c r="AB618" s="235"/>
      <c r="AC618" s="235"/>
    </row>
    <row r="619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35"/>
      <c r="W619" s="235"/>
      <c r="X619" s="235"/>
      <c r="Y619" s="235"/>
      <c r="Z619" s="235"/>
      <c r="AA619" s="235"/>
      <c r="AB619" s="235"/>
      <c r="AC619" s="235"/>
    </row>
    <row r="620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35"/>
      <c r="W620" s="235"/>
      <c r="X620" s="235"/>
      <c r="Y620" s="235"/>
      <c r="Z620" s="235"/>
      <c r="AA620" s="235"/>
      <c r="AB620" s="235"/>
      <c r="AC620" s="235"/>
    </row>
    <row r="62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35"/>
      <c r="W621" s="235"/>
      <c r="X621" s="235"/>
      <c r="Y621" s="235"/>
      <c r="Z621" s="235"/>
      <c r="AA621" s="235"/>
      <c r="AB621" s="235"/>
      <c r="AC621" s="235"/>
    </row>
    <row r="622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35"/>
      <c r="W622" s="235"/>
      <c r="X622" s="235"/>
      <c r="Y622" s="235"/>
      <c r="Z622" s="235"/>
      <c r="AA622" s="235"/>
      <c r="AB622" s="235"/>
      <c r="AC622" s="235"/>
    </row>
    <row r="623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35"/>
      <c r="W623" s="235"/>
      <c r="X623" s="235"/>
      <c r="Y623" s="235"/>
      <c r="Z623" s="235"/>
      <c r="AA623" s="235"/>
      <c r="AB623" s="235"/>
      <c r="AC623" s="235"/>
    </row>
    <row r="624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35"/>
      <c r="W624" s="235"/>
      <c r="X624" s="235"/>
      <c r="Y624" s="235"/>
      <c r="Z624" s="235"/>
      <c r="AA624" s="235"/>
      <c r="AB624" s="235"/>
      <c r="AC624" s="235"/>
    </row>
    <row r="625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35"/>
      <c r="W625" s="235"/>
      <c r="X625" s="235"/>
      <c r="Y625" s="235"/>
      <c r="Z625" s="235"/>
      <c r="AA625" s="235"/>
      <c r="AB625" s="235"/>
      <c r="AC625" s="235"/>
    </row>
    <row r="626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35"/>
      <c r="W626" s="235"/>
      <c r="X626" s="235"/>
      <c r="Y626" s="235"/>
      <c r="Z626" s="235"/>
      <c r="AA626" s="235"/>
      <c r="AB626" s="235"/>
      <c r="AC626" s="235"/>
    </row>
    <row r="627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35"/>
      <c r="W627" s="235"/>
      <c r="X627" s="235"/>
      <c r="Y627" s="235"/>
      <c r="Z627" s="235"/>
      <c r="AA627" s="235"/>
      <c r="AB627" s="235"/>
      <c r="AC627" s="235"/>
    </row>
    <row r="628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  <c r="AA628" s="235"/>
      <c r="AB628" s="235"/>
      <c r="AC628" s="235"/>
    </row>
    <row r="629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35"/>
      <c r="W629" s="235"/>
      <c r="X629" s="235"/>
      <c r="Y629" s="235"/>
      <c r="Z629" s="235"/>
      <c r="AA629" s="235"/>
      <c r="AB629" s="235"/>
      <c r="AC629" s="235"/>
    </row>
    <row r="630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35"/>
      <c r="W630" s="235"/>
      <c r="X630" s="235"/>
      <c r="Y630" s="235"/>
      <c r="Z630" s="235"/>
      <c r="AA630" s="235"/>
      <c r="AB630" s="235"/>
      <c r="AC630" s="235"/>
    </row>
    <row r="63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35"/>
      <c r="W631" s="235"/>
      <c r="X631" s="235"/>
      <c r="Y631" s="235"/>
      <c r="Z631" s="235"/>
      <c r="AA631" s="235"/>
      <c r="AB631" s="235"/>
      <c r="AC631" s="235"/>
    </row>
    <row r="632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35"/>
      <c r="W632" s="235"/>
      <c r="X632" s="235"/>
      <c r="Y632" s="235"/>
      <c r="Z632" s="235"/>
      <c r="AA632" s="235"/>
      <c r="AB632" s="235"/>
      <c r="AC632" s="235"/>
    </row>
    <row r="633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35"/>
      <c r="W633" s="235"/>
      <c r="X633" s="235"/>
      <c r="Y633" s="235"/>
      <c r="Z633" s="235"/>
      <c r="AA633" s="235"/>
      <c r="AB633" s="235"/>
      <c r="AC633" s="235"/>
    </row>
    <row r="634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35"/>
      <c r="W634" s="235"/>
      <c r="X634" s="235"/>
      <c r="Y634" s="235"/>
      <c r="Z634" s="235"/>
      <c r="AA634" s="235"/>
      <c r="AB634" s="235"/>
      <c r="AC634" s="235"/>
    </row>
    <row r="635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35"/>
      <c r="W635" s="235"/>
      <c r="X635" s="235"/>
      <c r="Y635" s="235"/>
      <c r="Z635" s="235"/>
      <c r="AA635" s="235"/>
      <c r="AB635" s="235"/>
      <c r="AC635" s="235"/>
    </row>
    <row r="636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35"/>
      <c r="W636" s="235"/>
      <c r="X636" s="235"/>
      <c r="Y636" s="235"/>
      <c r="Z636" s="235"/>
      <c r="AA636" s="235"/>
      <c r="AB636" s="235"/>
      <c r="AC636" s="235"/>
    </row>
    <row r="637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35"/>
      <c r="W637" s="235"/>
      <c r="X637" s="235"/>
      <c r="Y637" s="235"/>
      <c r="Z637" s="235"/>
      <c r="AA637" s="235"/>
      <c r="AB637" s="235"/>
      <c r="AC637" s="235"/>
    </row>
    <row r="638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35"/>
      <c r="W638" s="235"/>
      <c r="X638" s="235"/>
      <c r="Y638" s="235"/>
      <c r="Z638" s="235"/>
      <c r="AA638" s="235"/>
      <c r="AB638" s="235"/>
      <c r="AC638" s="235"/>
    </row>
    <row r="639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35"/>
      <c r="W639" s="235"/>
      <c r="X639" s="235"/>
      <c r="Y639" s="235"/>
      <c r="Z639" s="235"/>
      <c r="AA639" s="235"/>
      <c r="AB639" s="235"/>
      <c r="AC639" s="235"/>
    </row>
    <row r="640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35"/>
      <c r="W640" s="235"/>
      <c r="X640" s="235"/>
      <c r="Y640" s="235"/>
      <c r="Z640" s="235"/>
      <c r="AA640" s="235"/>
      <c r="AB640" s="235"/>
      <c r="AC640" s="235"/>
    </row>
    <row r="64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35"/>
      <c r="W641" s="235"/>
      <c r="X641" s="235"/>
      <c r="Y641" s="235"/>
      <c r="Z641" s="235"/>
      <c r="AA641" s="235"/>
      <c r="AB641" s="235"/>
      <c r="AC641" s="235"/>
    </row>
    <row r="642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35"/>
      <c r="W642" s="235"/>
      <c r="X642" s="235"/>
      <c r="Y642" s="235"/>
      <c r="Z642" s="235"/>
      <c r="AA642" s="235"/>
      <c r="AB642" s="235"/>
      <c r="AC642" s="235"/>
    </row>
    <row r="643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35"/>
      <c r="W643" s="235"/>
      <c r="X643" s="235"/>
      <c r="Y643" s="235"/>
      <c r="Z643" s="235"/>
      <c r="AA643" s="235"/>
      <c r="AB643" s="235"/>
      <c r="AC643" s="235"/>
    </row>
    <row r="644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35"/>
      <c r="W644" s="235"/>
      <c r="X644" s="235"/>
      <c r="Y644" s="235"/>
      <c r="Z644" s="235"/>
      <c r="AA644" s="235"/>
      <c r="AB644" s="235"/>
      <c r="AC644" s="235"/>
    </row>
    <row r="645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35"/>
      <c r="W645" s="235"/>
      <c r="X645" s="235"/>
      <c r="Y645" s="235"/>
      <c r="Z645" s="235"/>
      <c r="AA645" s="235"/>
      <c r="AB645" s="235"/>
      <c r="AC645" s="235"/>
    </row>
    <row r="646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35"/>
      <c r="W646" s="235"/>
      <c r="X646" s="235"/>
      <c r="Y646" s="235"/>
      <c r="Z646" s="235"/>
      <c r="AA646" s="235"/>
      <c r="AB646" s="235"/>
      <c r="AC646" s="235"/>
    </row>
    <row r="647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35"/>
      <c r="W647" s="235"/>
      <c r="X647" s="235"/>
      <c r="Y647" s="235"/>
      <c r="Z647" s="235"/>
      <c r="AA647" s="235"/>
      <c r="AB647" s="235"/>
      <c r="AC647" s="235"/>
    </row>
    <row r="648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35"/>
      <c r="W648" s="235"/>
      <c r="X648" s="235"/>
      <c r="Y648" s="235"/>
      <c r="Z648" s="235"/>
      <c r="AA648" s="235"/>
      <c r="AB648" s="235"/>
      <c r="AC648" s="235"/>
    </row>
    <row r="649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35"/>
      <c r="W649" s="235"/>
      <c r="X649" s="235"/>
      <c r="Y649" s="235"/>
      <c r="Z649" s="235"/>
      <c r="AA649" s="235"/>
      <c r="AB649" s="235"/>
      <c r="AC649" s="235"/>
    </row>
    <row r="650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35"/>
      <c r="W650" s="235"/>
      <c r="X650" s="235"/>
      <c r="Y650" s="235"/>
      <c r="Z650" s="235"/>
      <c r="AA650" s="235"/>
      <c r="AB650" s="235"/>
      <c r="AC650" s="235"/>
    </row>
    <row r="65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35"/>
      <c r="W651" s="235"/>
      <c r="X651" s="235"/>
      <c r="Y651" s="235"/>
      <c r="Z651" s="235"/>
      <c r="AA651" s="235"/>
      <c r="AB651" s="235"/>
      <c r="AC651" s="235"/>
    </row>
    <row r="652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35"/>
      <c r="W652" s="235"/>
      <c r="X652" s="235"/>
      <c r="Y652" s="235"/>
      <c r="Z652" s="235"/>
      <c r="AA652" s="235"/>
      <c r="AB652" s="235"/>
      <c r="AC652" s="235"/>
    </row>
    <row r="653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35"/>
      <c r="W653" s="235"/>
      <c r="X653" s="235"/>
      <c r="Y653" s="235"/>
      <c r="Z653" s="235"/>
      <c r="AA653" s="235"/>
      <c r="AB653" s="235"/>
      <c r="AC653" s="235"/>
    </row>
    <row r="654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35"/>
      <c r="W654" s="235"/>
      <c r="X654" s="235"/>
      <c r="Y654" s="235"/>
      <c r="Z654" s="235"/>
      <c r="AA654" s="235"/>
      <c r="AB654" s="235"/>
      <c r="AC654" s="235"/>
    </row>
    <row r="655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35"/>
      <c r="W655" s="235"/>
      <c r="X655" s="235"/>
      <c r="Y655" s="235"/>
      <c r="Z655" s="235"/>
      <c r="AA655" s="235"/>
      <c r="AB655" s="235"/>
      <c r="AC655" s="235"/>
    </row>
    <row r="656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35"/>
      <c r="W656" s="235"/>
      <c r="X656" s="235"/>
      <c r="Y656" s="235"/>
      <c r="Z656" s="235"/>
      <c r="AA656" s="235"/>
      <c r="AB656" s="235"/>
      <c r="AC656" s="235"/>
    </row>
    <row r="657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35"/>
      <c r="W657" s="235"/>
      <c r="X657" s="235"/>
      <c r="Y657" s="235"/>
      <c r="Z657" s="235"/>
      <c r="AA657" s="235"/>
      <c r="AB657" s="235"/>
      <c r="AC657" s="235"/>
    </row>
    <row r="658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35"/>
      <c r="W658" s="235"/>
      <c r="X658" s="235"/>
      <c r="Y658" s="235"/>
      <c r="Z658" s="235"/>
      <c r="AA658" s="235"/>
      <c r="AB658" s="235"/>
      <c r="AC658" s="235"/>
    </row>
    <row r="659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35"/>
      <c r="W659" s="235"/>
      <c r="X659" s="235"/>
      <c r="Y659" s="235"/>
      <c r="Z659" s="235"/>
      <c r="AA659" s="235"/>
      <c r="AB659" s="235"/>
      <c r="AC659" s="235"/>
    </row>
    <row r="660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35"/>
      <c r="W660" s="235"/>
      <c r="X660" s="235"/>
      <c r="Y660" s="235"/>
      <c r="Z660" s="235"/>
      <c r="AA660" s="235"/>
      <c r="AB660" s="235"/>
      <c r="AC660" s="235"/>
    </row>
    <row r="66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35"/>
      <c r="W661" s="235"/>
      <c r="X661" s="235"/>
      <c r="Y661" s="235"/>
      <c r="Z661" s="235"/>
      <c r="AA661" s="235"/>
      <c r="AB661" s="235"/>
      <c r="AC661" s="235"/>
    </row>
    <row r="662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35"/>
      <c r="W662" s="235"/>
      <c r="X662" s="235"/>
      <c r="Y662" s="235"/>
      <c r="Z662" s="235"/>
      <c r="AA662" s="235"/>
      <c r="AB662" s="235"/>
      <c r="AC662" s="235"/>
    </row>
    <row r="663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35"/>
      <c r="W663" s="235"/>
      <c r="X663" s="235"/>
      <c r="Y663" s="235"/>
      <c r="Z663" s="235"/>
      <c r="AA663" s="235"/>
      <c r="AB663" s="235"/>
      <c r="AC663" s="235"/>
    </row>
    <row r="664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35"/>
      <c r="W664" s="235"/>
      <c r="X664" s="235"/>
      <c r="Y664" s="235"/>
      <c r="Z664" s="235"/>
      <c r="AA664" s="235"/>
      <c r="AB664" s="235"/>
      <c r="AC664" s="235"/>
    </row>
    <row r="665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35"/>
      <c r="W665" s="235"/>
      <c r="X665" s="235"/>
      <c r="Y665" s="235"/>
      <c r="Z665" s="235"/>
      <c r="AA665" s="235"/>
      <c r="AB665" s="235"/>
      <c r="AC665" s="235"/>
    </row>
    <row r="666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35"/>
      <c r="W666" s="235"/>
      <c r="X666" s="235"/>
      <c r="Y666" s="235"/>
      <c r="Z666" s="235"/>
      <c r="AA666" s="235"/>
      <c r="AB666" s="235"/>
      <c r="AC666" s="235"/>
    </row>
    <row r="667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35"/>
      <c r="W667" s="235"/>
      <c r="X667" s="235"/>
      <c r="Y667" s="235"/>
      <c r="Z667" s="235"/>
      <c r="AA667" s="235"/>
      <c r="AB667" s="235"/>
      <c r="AC667" s="235"/>
    </row>
    <row r="668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35"/>
      <c r="W668" s="235"/>
      <c r="X668" s="235"/>
      <c r="Y668" s="235"/>
      <c r="Z668" s="235"/>
      <c r="AA668" s="235"/>
      <c r="AB668" s="235"/>
      <c r="AC668" s="235"/>
    </row>
    <row r="669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35"/>
      <c r="W669" s="235"/>
      <c r="X669" s="235"/>
      <c r="Y669" s="235"/>
      <c r="Z669" s="235"/>
      <c r="AA669" s="235"/>
      <c r="AB669" s="235"/>
      <c r="AC669" s="235"/>
    </row>
    <row r="670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35"/>
      <c r="W670" s="235"/>
      <c r="X670" s="235"/>
      <c r="Y670" s="235"/>
      <c r="Z670" s="235"/>
      <c r="AA670" s="235"/>
      <c r="AB670" s="235"/>
      <c r="AC670" s="235"/>
    </row>
    <row r="67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35"/>
      <c r="W671" s="235"/>
      <c r="X671" s="235"/>
      <c r="Y671" s="235"/>
      <c r="Z671" s="235"/>
      <c r="AA671" s="235"/>
      <c r="AB671" s="235"/>
      <c r="AC671" s="235"/>
    </row>
    <row r="672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35"/>
      <c r="W672" s="235"/>
      <c r="X672" s="235"/>
      <c r="Y672" s="235"/>
      <c r="Z672" s="235"/>
      <c r="AA672" s="235"/>
      <c r="AB672" s="235"/>
      <c r="AC672" s="235"/>
    </row>
    <row r="673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35"/>
      <c r="W673" s="235"/>
      <c r="X673" s="235"/>
      <c r="Y673" s="235"/>
      <c r="Z673" s="235"/>
      <c r="AA673" s="235"/>
      <c r="AB673" s="235"/>
      <c r="AC673" s="235"/>
    </row>
    <row r="674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35"/>
      <c r="W674" s="235"/>
      <c r="X674" s="235"/>
      <c r="Y674" s="235"/>
      <c r="Z674" s="235"/>
      <c r="AA674" s="235"/>
      <c r="AB674" s="235"/>
      <c r="AC674" s="235"/>
    </row>
    <row r="675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35"/>
      <c r="W675" s="235"/>
      <c r="X675" s="235"/>
      <c r="Y675" s="235"/>
      <c r="Z675" s="235"/>
      <c r="AA675" s="235"/>
      <c r="AB675" s="235"/>
      <c r="AC675" s="235"/>
    </row>
    <row r="676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35"/>
      <c r="W676" s="235"/>
      <c r="X676" s="235"/>
      <c r="Y676" s="235"/>
      <c r="Z676" s="235"/>
      <c r="AA676" s="235"/>
      <c r="AB676" s="235"/>
      <c r="AC676" s="235"/>
    </row>
    <row r="677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35"/>
      <c r="W677" s="235"/>
      <c r="X677" s="235"/>
      <c r="Y677" s="235"/>
      <c r="Z677" s="235"/>
      <c r="AA677" s="235"/>
      <c r="AB677" s="235"/>
      <c r="AC677" s="235"/>
    </row>
    <row r="678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35"/>
      <c r="W678" s="235"/>
      <c r="X678" s="235"/>
      <c r="Y678" s="235"/>
      <c r="Z678" s="235"/>
      <c r="AA678" s="235"/>
      <c r="AB678" s="235"/>
      <c r="AC678" s="235"/>
    </row>
    <row r="679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35"/>
      <c r="W679" s="235"/>
      <c r="X679" s="235"/>
      <c r="Y679" s="235"/>
      <c r="Z679" s="235"/>
      <c r="AA679" s="235"/>
      <c r="AB679" s="235"/>
      <c r="AC679" s="235"/>
    </row>
    <row r="680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35"/>
      <c r="W680" s="235"/>
      <c r="X680" s="235"/>
      <c r="Y680" s="235"/>
      <c r="Z680" s="235"/>
      <c r="AA680" s="235"/>
      <c r="AB680" s="235"/>
      <c r="AC680" s="235"/>
    </row>
    <row r="68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35"/>
      <c r="W681" s="235"/>
      <c r="X681" s="235"/>
      <c r="Y681" s="235"/>
      <c r="Z681" s="235"/>
      <c r="AA681" s="235"/>
      <c r="AB681" s="235"/>
      <c r="AC681" s="235"/>
    </row>
    <row r="682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35"/>
      <c r="W682" s="235"/>
      <c r="X682" s="235"/>
      <c r="Y682" s="235"/>
      <c r="Z682" s="235"/>
      <c r="AA682" s="235"/>
      <c r="AB682" s="235"/>
      <c r="AC682" s="235"/>
    </row>
    <row r="683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35"/>
      <c r="W683" s="235"/>
      <c r="X683" s="235"/>
      <c r="Y683" s="235"/>
      <c r="Z683" s="235"/>
      <c r="AA683" s="235"/>
      <c r="AB683" s="235"/>
      <c r="AC683" s="235"/>
    </row>
    <row r="684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35"/>
      <c r="W684" s="235"/>
      <c r="X684" s="235"/>
      <c r="Y684" s="235"/>
      <c r="Z684" s="235"/>
      <c r="AA684" s="235"/>
      <c r="AB684" s="235"/>
      <c r="AC684" s="235"/>
    </row>
    <row r="685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35"/>
      <c r="W685" s="235"/>
      <c r="X685" s="235"/>
      <c r="Y685" s="235"/>
      <c r="Z685" s="235"/>
      <c r="AA685" s="235"/>
      <c r="AB685" s="235"/>
      <c r="AC685" s="235"/>
    </row>
    <row r="686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35"/>
      <c r="W686" s="235"/>
      <c r="X686" s="235"/>
      <c r="Y686" s="235"/>
      <c r="Z686" s="235"/>
      <c r="AA686" s="235"/>
      <c r="AB686" s="235"/>
      <c r="AC686" s="235"/>
    </row>
    <row r="687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35"/>
      <c r="W687" s="235"/>
      <c r="X687" s="235"/>
      <c r="Y687" s="235"/>
      <c r="Z687" s="235"/>
      <c r="AA687" s="235"/>
      <c r="AB687" s="235"/>
      <c r="AC687" s="235"/>
    </row>
    <row r="688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35"/>
      <c r="W688" s="235"/>
      <c r="X688" s="235"/>
      <c r="Y688" s="235"/>
      <c r="Z688" s="235"/>
      <c r="AA688" s="235"/>
      <c r="AB688" s="235"/>
      <c r="AC688" s="235"/>
    </row>
    <row r="689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35"/>
      <c r="W689" s="235"/>
      <c r="X689" s="235"/>
      <c r="Y689" s="235"/>
      <c r="Z689" s="235"/>
      <c r="AA689" s="235"/>
      <c r="AB689" s="235"/>
      <c r="AC689" s="235"/>
    </row>
    <row r="690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35"/>
      <c r="W690" s="235"/>
      <c r="X690" s="235"/>
      <c r="Y690" s="235"/>
      <c r="Z690" s="235"/>
      <c r="AA690" s="235"/>
      <c r="AB690" s="235"/>
      <c r="AC690" s="235"/>
    </row>
    <row r="69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35"/>
      <c r="W691" s="235"/>
      <c r="X691" s="235"/>
      <c r="Y691" s="235"/>
      <c r="Z691" s="235"/>
      <c r="AA691" s="235"/>
      <c r="AB691" s="235"/>
      <c r="AC691" s="235"/>
    </row>
    <row r="692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35"/>
      <c r="W692" s="235"/>
      <c r="X692" s="235"/>
      <c r="Y692" s="235"/>
      <c r="Z692" s="235"/>
      <c r="AA692" s="235"/>
      <c r="AB692" s="235"/>
      <c r="AC692" s="235"/>
    </row>
    <row r="693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35"/>
      <c r="W693" s="235"/>
      <c r="X693" s="235"/>
      <c r="Y693" s="235"/>
      <c r="Z693" s="235"/>
      <c r="AA693" s="235"/>
      <c r="AB693" s="235"/>
      <c r="AC693" s="235"/>
    </row>
    <row r="694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35"/>
      <c r="W694" s="235"/>
      <c r="X694" s="235"/>
      <c r="Y694" s="235"/>
      <c r="Z694" s="235"/>
      <c r="AA694" s="235"/>
      <c r="AB694" s="235"/>
      <c r="AC694" s="235"/>
    </row>
    <row r="695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35"/>
      <c r="W695" s="235"/>
      <c r="X695" s="235"/>
      <c r="Y695" s="235"/>
      <c r="Z695" s="235"/>
      <c r="AA695" s="235"/>
      <c r="AB695" s="235"/>
      <c r="AC695" s="235"/>
    </row>
    <row r="696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35"/>
      <c r="W696" s="235"/>
      <c r="X696" s="235"/>
      <c r="Y696" s="235"/>
      <c r="Z696" s="235"/>
      <c r="AA696" s="235"/>
      <c r="AB696" s="235"/>
      <c r="AC696" s="235"/>
    </row>
    <row r="697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35"/>
      <c r="W697" s="235"/>
      <c r="X697" s="235"/>
      <c r="Y697" s="235"/>
      <c r="Z697" s="235"/>
      <c r="AA697" s="235"/>
      <c r="AB697" s="235"/>
      <c r="AC697" s="235"/>
    </row>
    <row r="698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35"/>
      <c r="W698" s="235"/>
      <c r="X698" s="235"/>
      <c r="Y698" s="235"/>
      <c r="Z698" s="235"/>
      <c r="AA698" s="235"/>
      <c r="AB698" s="235"/>
      <c r="AC698" s="235"/>
    </row>
    <row r="699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35"/>
      <c r="W699" s="235"/>
      <c r="X699" s="235"/>
      <c r="Y699" s="235"/>
      <c r="Z699" s="235"/>
      <c r="AA699" s="235"/>
      <c r="AB699" s="235"/>
      <c r="AC699" s="235"/>
    </row>
    <row r="700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35"/>
      <c r="W700" s="235"/>
      <c r="X700" s="235"/>
      <c r="Y700" s="235"/>
      <c r="Z700" s="235"/>
      <c r="AA700" s="235"/>
      <c r="AB700" s="235"/>
      <c r="AC700" s="235"/>
    </row>
    <row r="70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35"/>
      <c r="W701" s="235"/>
      <c r="X701" s="235"/>
      <c r="Y701" s="235"/>
      <c r="Z701" s="235"/>
      <c r="AA701" s="235"/>
      <c r="AB701" s="235"/>
      <c r="AC701" s="235"/>
    </row>
    <row r="702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35"/>
      <c r="W702" s="235"/>
      <c r="X702" s="235"/>
      <c r="Y702" s="235"/>
      <c r="Z702" s="235"/>
      <c r="AA702" s="235"/>
      <c r="AB702" s="235"/>
      <c r="AC702" s="235"/>
    </row>
    <row r="703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35"/>
      <c r="W703" s="235"/>
      <c r="X703" s="235"/>
      <c r="Y703" s="235"/>
      <c r="Z703" s="235"/>
      <c r="AA703" s="235"/>
      <c r="AB703" s="235"/>
      <c r="AC703" s="235"/>
    </row>
    <row r="704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35"/>
      <c r="W704" s="235"/>
      <c r="X704" s="235"/>
      <c r="Y704" s="235"/>
      <c r="Z704" s="235"/>
      <c r="AA704" s="235"/>
      <c r="AB704" s="235"/>
      <c r="AC704" s="235"/>
    </row>
    <row r="705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35"/>
      <c r="W705" s="235"/>
      <c r="X705" s="235"/>
      <c r="Y705" s="235"/>
      <c r="Z705" s="235"/>
      <c r="AA705" s="235"/>
      <c r="AB705" s="235"/>
      <c r="AC705" s="235"/>
    </row>
    <row r="706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35"/>
      <c r="W706" s="235"/>
      <c r="X706" s="235"/>
      <c r="Y706" s="235"/>
      <c r="Z706" s="235"/>
      <c r="AA706" s="235"/>
      <c r="AB706" s="235"/>
      <c r="AC706" s="235"/>
    </row>
    <row r="707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35"/>
      <c r="W707" s="235"/>
      <c r="X707" s="235"/>
      <c r="Y707" s="235"/>
      <c r="Z707" s="235"/>
      <c r="AA707" s="235"/>
      <c r="AB707" s="235"/>
      <c r="AC707" s="235"/>
    </row>
    <row r="708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35"/>
      <c r="W708" s="235"/>
      <c r="X708" s="235"/>
      <c r="Y708" s="235"/>
      <c r="Z708" s="235"/>
      <c r="AA708" s="235"/>
      <c r="AB708" s="235"/>
      <c r="AC708" s="235"/>
    </row>
    <row r="709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35"/>
      <c r="W709" s="235"/>
      <c r="X709" s="235"/>
      <c r="Y709" s="235"/>
      <c r="Z709" s="235"/>
      <c r="AA709" s="235"/>
      <c r="AB709" s="235"/>
      <c r="AC709" s="235"/>
    </row>
    <row r="710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35"/>
      <c r="W710" s="235"/>
      <c r="X710" s="235"/>
      <c r="Y710" s="235"/>
      <c r="Z710" s="235"/>
      <c r="AA710" s="235"/>
      <c r="AB710" s="235"/>
      <c r="AC710" s="235"/>
    </row>
    <row r="71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35"/>
      <c r="W711" s="235"/>
      <c r="X711" s="235"/>
      <c r="Y711" s="235"/>
      <c r="Z711" s="235"/>
      <c r="AA711" s="235"/>
      <c r="AB711" s="235"/>
      <c r="AC711" s="235"/>
    </row>
    <row r="712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35"/>
      <c r="W712" s="235"/>
      <c r="X712" s="235"/>
      <c r="Y712" s="235"/>
      <c r="Z712" s="235"/>
      <c r="AA712" s="235"/>
      <c r="AB712" s="235"/>
      <c r="AC712" s="235"/>
    </row>
    <row r="713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35"/>
      <c r="W713" s="235"/>
      <c r="X713" s="235"/>
      <c r="Y713" s="235"/>
      <c r="Z713" s="235"/>
      <c r="AA713" s="235"/>
      <c r="AB713" s="235"/>
      <c r="AC713" s="235"/>
    </row>
    <row r="714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35"/>
      <c r="W714" s="235"/>
      <c r="X714" s="235"/>
      <c r="Y714" s="235"/>
      <c r="Z714" s="235"/>
      <c r="AA714" s="235"/>
      <c r="AB714" s="235"/>
      <c r="AC714" s="235"/>
    </row>
    <row r="715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35"/>
      <c r="W715" s="235"/>
      <c r="X715" s="235"/>
      <c r="Y715" s="235"/>
      <c r="Z715" s="235"/>
      <c r="AA715" s="235"/>
      <c r="AB715" s="235"/>
      <c r="AC715" s="235"/>
    </row>
    <row r="716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35"/>
      <c r="W716" s="235"/>
      <c r="X716" s="235"/>
      <c r="Y716" s="235"/>
      <c r="Z716" s="235"/>
      <c r="AA716" s="235"/>
      <c r="AB716" s="235"/>
      <c r="AC716" s="235"/>
    </row>
    <row r="717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  <c r="AA717" s="235"/>
      <c r="AB717" s="235"/>
      <c r="AC717" s="235"/>
    </row>
    <row r="718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35"/>
      <c r="W718" s="235"/>
      <c r="X718" s="235"/>
      <c r="Y718" s="235"/>
      <c r="Z718" s="235"/>
      <c r="AA718" s="235"/>
      <c r="AB718" s="235"/>
      <c r="AC718" s="235"/>
    </row>
    <row r="719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35"/>
      <c r="W719" s="235"/>
      <c r="X719" s="235"/>
      <c r="Y719" s="235"/>
      <c r="Z719" s="235"/>
      <c r="AA719" s="235"/>
      <c r="AB719" s="235"/>
      <c r="AC719" s="235"/>
    </row>
    <row r="720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35"/>
      <c r="W720" s="235"/>
      <c r="X720" s="235"/>
      <c r="Y720" s="235"/>
      <c r="Z720" s="235"/>
      <c r="AA720" s="235"/>
      <c r="AB720" s="235"/>
      <c r="AC720" s="235"/>
    </row>
    <row r="72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35"/>
      <c r="W721" s="235"/>
      <c r="X721" s="235"/>
      <c r="Y721" s="235"/>
      <c r="Z721" s="235"/>
      <c r="AA721" s="235"/>
      <c r="AB721" s="235"/>
      <c r="AC721" s="235"/>
    </row>
    <row r="722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35"/>
      <c r="W722" s="235"/>
      <c r="X722" s="235"/>
      <c r="Y722" s="235"/>
      <c r="Z722" s="235"/>
      <c r="AA722" s="235"/>
      <c r="AB722" s="235"/>
      <c r="AC722" s="235"/>
    </row>
    <row r="723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35"/>
      <c r="W723" s="235"/>
      <c r="X723" s="235"/>
      <c r="Y723" s="235"/>
      <c r="Z723" s="235"/>
      <c r="AA723" s="235"/>
      <c r="AB723" s="235"/>
      <c r="AC723" s="235"/>
    </row>
    <row r="724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35"/>
      <c r="W724" s="235"/>
      <c r="X724" s="235"/>
      <c r="Y724" s="235"/>
      <c r="Z724" s="235"/>
      <c r="AA724" s="235"/>
      <c r="AB724" s="235"/>
      <c r="AC724" s="235"/>
    </row>
    <row r="725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35"/>
      <c r="W725" s="235"/>
      <c r="X725" s="235"/>
      <c r="Y725" s="235"/>
      <c r="Z725" s="235"/>
      <c r="AA725" s="235"/>
      <c r="AB725" s="235"/>
      <c r="AC725" s="235"/>
    </row>
    <row r="726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35"/>
      <c r="W726" s="235"/>
      <c r="X726" s="235"/>
      <c r="Y726" s="235"/>
      <c r="Z726" s="235"/>
      <c r="AA726" s="235"/>
      <c r="AB726" s="235"/>
      <c r="AC726" s="235"/>
    </row>
    <row r="727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35"/>
      <c r="W727" s="235"/>
      <c r="X727" s="235"/>
      <c r="Y727" s="235"/>
      <c r="Z727" s="235"/>
      <c r="AA727" s="235"/>
      <c r="AB727" s="235"/>
      <c r="AC727" s="235"/>
    </row>
    <row r="728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35"/>
      <c r="W728" s="235"/>
      <c r="X728" s="235"/>
      <c r="Y728" s="235"/>
      <c r="Z728" s="235"/>
      <c r="AA728" s="235"/>
      <c r="AB728" s="235"/>
      <c r="AC728" s="235"/>
    </row>
    <row r="729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35"/>
      <c r="W729" s="235"/>
      <c r="X729" s="235"/>
      <c r="Y729" s="235"/>
      <c r="Z729" s="235"/>
      <c r="AA729" s="235"/>
      <c r="AB729" s="235"/>
      <c r="AC729" s="235"/>
    </row>
    <row r="730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35"/>
      <c r="W730" s="235"/>
      <c r="X730" s="235"/>
      <c r="Y730" s="235"/>
      <c r="Z730" s="235"/>
      <c r="AA730" s="235"/>
      <c r="AB730" s="235"/>
      <c r="AC730" s="235"/>
    </row>
    <row r="73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35"/>
      <c r="W731" s="235"/>
      <c r="X731" s="235"/>
      <c r="Y731" s="235"/>
      <c r="Z731" s="235"/>
      <c r="AA731" s="235"/>
      <c r="AB731" s="235"/>
      <c r="AC731" s="235"/>
    </row>
    <row r="732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35"/>
      <c r="W732" s="235"/>
      <c r="X732" s="235"/>
      <c r="Y732" s="235"/>
      <c r="Z732" s="235"/>
      <c r="AA732" s="235"/>
      <c r="AB732" s="235"/>
      <c r="AC732" s="235"/>
    </row>
    <row r="733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35"/>
      <c r="W733" s="235"/>
      <c r="X733" s="235"/>
      <c r="Y733" s="235"/>
      <c r="Z733" s="235"/>
      <c r="AA733" s="235"/>
      <c r="AB733" s="235"/>
      <c r="AC733" s="235"/>
    </row>
    <row r="734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35"/>
      <c r="W734" s="235"/>
      <c r="X734" s="235"/>
      <c r="Y734" s="235"/>
      <c r="Z734" s="235"/>
      <c r="AA734" s="235"/>
      <c r="AB734" s="235"/>
      <c r="AC734" s="235"/>
    </row>
    <row r="735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35"/>
      <c r="W735" s="235"/>
      <c r="X735" s="235"/>
      <c r="Y735" s="235"/>
      <c r="Z735" s="235"/>
      <c r="AA735" s="235"/>
      <c r="AB735" s="235"/>
      <c r="AC735" s="235"/>
    </row>
    <row r="736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35"/>
      <c r="W736" s="235"/>
      <c r="X736" s="235"/>
      <c r="Y736" s="235"/>
      <c r="Z736" s="235"/>
      <c r="AA736" s="235"/>
      <c r="AB736" s="235"/>
      <c r="AC736" s="235"/>
    </row>
    <row r="737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35"/>
      <c r="W737" s="235"/>
      <c r="X737" s="235"/>
      <c r="Y737" s="235"/>
      <c r="Z737" s="235"/>
      <c r="AA737" s="235"/>
      <c r="AB737" s="235"/>
      <c r="AC737" s="235"/>
    </row>
    <row r="738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35"/>
      <c r="W738" s="235"/>
      <c r="X738" s="235"/>
      <c r="Y738" s="235"/>
      <c r="Z738" s="235"/>
      <c r="AA738" s="235"/>
      <c r="AB738" s="235"/>
      <c r="AC738" s="235"/>
    </row>
    <row r="739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35"/>
      <c r="W739" s="235"/>
      <c r="X739" s="235"/>
      <c r="Y739" s="235"/>
      <c r="Z739" s="235"/>
      <c r="AA739" s="235"/>
      <c r="AB739" s="235"/>
      <c r="AC739" s="235"/>
    </row>
    <row r="740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35"/>
      <c r="W740" s="235"/>
      <c r="X740" s="235"/>
      <c r="Y740" s="235"/>
      <c r="Z740" s="235"/>
      <c r="AA740" s="235"/>
      <c r="AB740" s="235"/>
      <c r="AC740" s="235"/>
    </row>
    <row r="74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35"/>
      <c r="W741" s="235"/>
      <c r="X741" s="235"/>
      <c r="Y741" s="235"/>
      <c r="Z741" s="235"/>
      <c r="AA741" s="235"/>
      <c r="AB741" s="235"/>
      <c r="AC741" s="235"/>
    </row>
    <row r="742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35"/>
      <c r="W742" s="235"/>
      <c r="X742" s="235"/>
      <c r="Y742" s="235"/>
      <c r="Z742" s="235"/>
      <c r="AA742" s="235"/>
      <c r="AB742" s="235"/>
      <c r="AC742" s="235"/>
    </row>
    <row r="743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35"/>
      <c r="W743" s="235"/>
      <c r="X743" s="235"/>
      <c r="Y743" s="235"/>
      <c r="Z743" s="235"/>
      <c r="AA743" s="235"/>
      <c r="AB743" s="235"/>
      <c r="AC743" s="235"/>
    </row>
    <row r="744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35"/>
      <c r="W744" s="235"/>
      <c r="X744" s="235"/>
      <c r="Y744" s="235"/>
      <c r="Z744" s="235"/>
      <c r="AA744" s="235"/>
      <c r="AB744" s="235"/>
      <c r="AC744" s="235"/>
    </row>
    <row r="745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35"/>
      <c r="W745" s="235"/>
      <c r="X745" s="235"/>
      <c r="Y745" s="235"/>
      <c r="Z745" s="235"/>
      <c r="AA745" s="235"/>
      <c r="AB745" s="235"/>
      <c r="AC745" s="235"/>
    </row>
    <row r="746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35"/>
      <c r="W746" s="235"/>
      <c r="X746" s="235"/>
      <c r="Y746" s="235"/>
      <c r="Z746" s="235"/>
      <c r="AA746" s="235"/>
      <c r="AB746" s="235"/>
      <c r="AC746" s="235"/>
    </row>
    <row r="747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35"/>
      <c r="W747" s="235"/>
      <c r="X747" s="235"/>
      <c r="Y747" s="235"/>
      <c r="Z747" s="235"/>
      <c r="AA747" s="235"/>
      <c r="AB747" s="235"/>
      <c r="AC747" s="235"/>
    </row>
    <row r="748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35"/>
      <c r="W748" s="235"/>
      <c r="X748" s="235"/>
      <c r="Y748" s="235"/>
      <c r="Z748" s="235"/>
      <c r="AA748" s="235"/>
      <c r="AB748" s="235"/>
      <c r="AC748" s="235"/>
    </row>
    <row r="749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35"/>
      <c r="W749" s="235"/>
      <c r="X749" s="235"/>
      <c r="Y749" s="235"/>
      <c r="Z749" s="235"/>
      <c r="AA749" s="235"/>
      <c r="AB749" s="235"/>
      <c r="AC749" s="235"/>
    </row>
    <row r="750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35"/>
      <c r="W750" s="235"/>
      <c r="X750" s="235"/>
      <c r="Y750" s="235"/>
      <c r="Z750" s="235"/>
      <c r="AA750" s="235"/>
      <c r="AB750" s="235"/>
      <c r="AC750" s="235"/>
    </row>
    <row r="75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35"/>
      <c r="W751" s="235"/>
      <c r="X751" s="235"/>
      <c r="Y751" s="235"/>
      <c r="Z751" s="235"/>
      <c r="AA751" s="235"/>
      <c r="AB751" s="235"/>
      <c r="AC751" s="235"/>
    </row>
    <row r="752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35"/>
      <c r="W752" s="235"/>
      <c r="X752" s="235"/>
      <c r="Y752" s="235"/>
      <c r="Z752" s="235"/>
      <c r="AA752" s="235"/>
      <c r="AB752" s="235"/>
      <c r="AC752" s="235"/>
    </row>
    <row r="753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35"/>
      <c r="W753" s="235"/>
      <c r="X753" s="235"/>
      <c r="Y753" s="235"/>
      <c r="Z753" s="235"/>
      <c r="AA753" s="235"/>
      <c r="AB753" s="235"/>
      <c r="AC753" s="235"/>
    </row>
    <row r="754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35"/>
      <c r="W754" s="235"/>
      <c r="X754" s="235"/>
      <c r="Y754" s="235"/>
      <c r="Z754" s="235"/>
      <c r="AA754" s="235"/>
      <c r="AB754" s="235"/>
      <c r="AC754" s="235"/>
    </row>
    <row r="755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35"/>
      <c r="W755" s="235"/>
      <c r="X755" s="235"/>
      <c r="Y755" s="235"/>
      <c r="Z755" s="235"/>
      <c r="AA755" s="235"/>
      <c r="AB755" s="235"/>
      <c r="AC755" s="235"/>
    </row>
    <row r="756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35"/>
      <c r="W756" s="235"/>
      <c r="X756" s="235"/>
      <c r="Y756" s="235"/>
      <c r="Z756" s="235"/>
      <c r="AA756" s="235"/>
      <c r="AB756" s="235"/>
      <c r="AC756" s="235"/>
    </row>
    <row r="757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35"/>
      <c r="W757" s="235"/>
      <c r="X757" s="235"/>
      <c r="Y757" s="235"/>
      <c r="Z757" s="235"/>
      <c r="AA757" s="235"/>
      <c r="AB757" s="235"/>
      <c r="AC757" s="235"/>
    </row>
    <row r="758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35"/>
      <c r="W758" s="235"/>
      <c r="X758" s="235"/>
      <c r="Y758" s="235"/>
      <c r="Z758" s="235"/>
      <c r="AA758" s="235"/>
      <c r="AB758" s="235"/>
      <c r="AC758" s="235"/>
    </row>
    <row r="759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35"/>
      <c r="W759" s="235"/>
      <c r="X759" s="235"/>
      <c r="Y759" s="235"/>
      <c r="Z759" s="235"/>
      <c r="AA759" s="235"/>
      <c r="AB759" s="235"/>
      <c r="AC759" s="235"/>
    </row>
    <row r="760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35"/>
      <c r="W760" s="235"/>
      <c r="X760" s="235"/>
      <c r="Y760" s="235"/>
      <c r="Z760" s="235"/>
      <c r="AA760" s="235"/>
      <c r="AB760" s="235"/>
      <c r="AC760" s="235"/>
    </row>
    <row r="76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35"/>
      <c r="W761" s="235"/>
      <c r="X761" s="235"/>
      <c r="Y761" s="235"/>
      <c r="Z761" s="235"/>
      <c r="AA761" s="235"/>
      <c r="AB761" s="235"/>
      <c r="AC761" s="235"/>
    </row>
    <row r="762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35"/>
      <c r="W762" s="235"/>
      <c r="X762" s="235"/>
      <c r="Y762" s="235"/>
      <c r="Z762" s="235"/>
      <c r="AA762" s="235"/>
      <c r="AB762" s="235"/>
      <c r="AC762" s="235"/>
    </row>
    <row r="763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35"/>
      <c r="W763" s="235"/>
      <c r="X763" s="235"/>
      <c r="Y763" s="235"/>
      <c r="Z763" s="235"/>
      <c r="AA763" s="235"/>
      <c r="AB763" s="235"/>
      <c r="AC763" s="235"/>
    </row>
    <row r="764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35"/>
      <c r="W764" s="235"/>
      <c r="X764" s="235"/>
      <c r="Y764" s="235"/>
      <c r="Z764" s="235"/>
      <c r="AA764" s="235"/>
      <c r="AB764" s="235"/>
      <c r="AC764" s="235"/>
    </row>
    <row r="765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35"/>
      <c r="W765" s="235"/>
      <c r="X765" s="235"/>
      <c r="Y765" s="235"/>
      <c r="Z765" s="235"/>
      <c r="AA765" s="235"/>
      <c r="AB765" s="235"/>
      <c r="AC765" s="235"/>
    </row>
    <row r="766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35"/>
      <c r="W766" s="235"/>
      <c r="X766" s="235"/>
      <c r="Y766" s="235"/>
      <c r="Z766" s="235"/>
      <c r="AA766" s="235"/>
      <c r="AB766" s="235"/>
      <c r="AC766" s="235"/>
    </row>
    <row r="767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35"/>
      <c r="W767" s="235"/>
      <c r="X767" s="235"/>
      <c r="Y767" s="235"/>
      <c r="Z767" s="235"/>
      <c r="AA767" s="235"/>
      <c r="AB767" s="235"/>
      <c r="AC767" s="235"/>
    </row>
    <row r="768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35"/>
      <c r="W768" s="235"/>
      <c r="X768" s="235"/>
      <c r="Y768" s="235"/>
      <c r="Z768" s="235"/>
      <c r="AA768" s="235"/>
      <c r="AB768" s="235"/>
      <c r="AC768" s="235"/>
    </row>
    <row r="769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35"/>
      <c r="W769" s="235"/>
      <c r="X769" s="235"/>
      <c r="Y769" s="235"/>
      <c r="Z769" s="235"/>
      <c r="AA769" s="235"/>
      <c r="AB769" s="235"/>
      <c r="AC769" s="235"/>
    </row>
    <row r="770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35"/>
      <c r="W770" s="235"/>
      <c r="X770" s="235"/>
      <c r="Y770" s="235"/>
      <c r="Z770" s="235"/>
      <c r="AA770" s="235"/>
      <c r="AB770" s="235"/>
      <c r="AC770" s="235"/>
    </row>
    <row r="77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35"/>
      <c r="W771" s="235"/>
      <c r="X771" s="235"/>
      <c r="Y771" s="235"/>
      <c r="Z771" s="235"/>
      <c r="AA771" s="235"/>
      <c r="AB771" s="235"/>
      <c r="AC771" s="235"/>
    </row>
    <row r="772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35"/>
      <c r="W772" s="235"/>
      <c r="X772" s="235"/>
      <c r="Y772" s="235"/>
      <c r="Z772" s="235"/>
      <c r="AA772" s="235"/>
      <c r="AB772" s="235"/>
      <c r="AC772" s="235"/>
    </row>
    <row r="773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35"/>
      <c r="W773" s="235"/>
      <c r="X773" s="235"/>
      <c r="Y773" s="235"/>
      <c r="Z773" s="235"/>
      <c r="AA773" s="235"/>
      <c r="AB773" s="235"/>
      <c r="AC773" s="235"/>
    </row>
    <row r="774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35"/>
      <c r="W774" s="235"/>
      <c r="X774" s="235"/>
      <c r="Y774" s="235"/>
      <c r="Z774" s="235"/>
      <c r="AA774" s="235"/>
      <c r="AB774" s="235"/>
      <c r="AC774" s="235"/>
    </row>
    <row r="775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35"/>
      <c r="W775" s="235"/>
      <c r="X775" s="235"/>
      <c r="Y775" s="235"/>
      <c r="Z775" s="235"/>
      <c r="AA775" s="235"/>
      <c r="AB775" s="235"/>
      <c r="AC775" s="235"/>
    </row>
    <row r="776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35"/>
      <c r="W776" s="235"/>
      <c r="X776" s="235"/>
      <c r="Y776" s="235"/>
      <c r="Z776" s="235"/>
      <c r="AA776" s="235"/>
      <c r="AB776" s="235"/>
      <c r="AC776" s="235"/>
    </row>
    <row r="777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35"/>
      <c r="W777" s="235"/>
      <c r="X777" s="235"/>
      <c r="Y777" s="235"/>
      <c r="Z777" s="235"/>
      <c r="AA777" s="235"/>
      <c r="AB777" s="235"/>
      <c r="AC777" s="235"/>
    </row>
    <row r="778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35"/>
      <c r="W778" s="235"/>
      <c r="X778" s="235"/>
      <c r="Y778" s="235"/>
      <c r="Z778" s="235"/>
      <c r="AA778" s="235"/>
      <c r="AB778" s="235"/>
      <c r="AC778" s="235"/>
    </row>
    <row r="779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35"/>
      <c r="W779" s="235"/>
      <c r="X779" s="235"/>
      <c r="Y779" s="235"/>
      <c r="Z779" s="235"/>
      <c r="AA779" s="235"/>
      <c r="AB779" s="235"/>
      <c r="AC779" s="235"/>
    </row>
    <row r="780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35"/>
      <c r="W780" s="235"/>
      <c r="X780" s="235"/>
      <c r="Y780" s="235"/>
      <c r="Z780" s="235"/>
      <c r="AA780" s="235"/>
      <c r="AB780" s="235"/>
      <c r="AC780" s="235"/>
    </row>
    <row r="78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35"/>
      <c r="W781" s="235"/>
      <c r="X781" s="235"/>
      <c r="Y781" s="235"/>
      <c r="Z781" s="235"/>
      <c r="AA781" s="235"/>
      <c r="AB781" s="235"/>
      <c r="AC781" s="235"/>
    </row>
    <row r="782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35"/>
      <c r="W782" s="235"/>
      <c r="X782" s="235"/>
      <c r="Y782" s="235"/>
      <c r="Z782" s="235"/>
      <c r="AA782" s="235"/>
      <c r="AB782" s="235"/>
      <c r="AC782" s="235"/>
    </row>
    <row r="783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35"/>
      <c r="W783" s="235"/>
      <c r="X783" s="235"/>
      <c r="Y783" s="235"/>
      <c r="Z783" s="235"/>
      <c r="AA783" s="235"/>
      <c r="AB783" s="235"/>
      <c r="AC783" s="235"/>
    </row>
    <row r="784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35"/>
      <c r="W784" s="235"/>
      <c r="X784" s="235"/>
      <c r="Y784" s="235"/>
      <c r="Z784" s="235"/>
      <c r="AA784" s="235"/>
      <c r="AB784" s="235"/>
      <c r="AC784" s="235"/>
    </row>
    <row r="785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35"/>
      <c r="W785" s="235"/>
      <c r="X785" s="235"/>
      <c r="Y785" s="235"/>
      <c r="Z785" s="235"/>
      <c r="AA785" s="235"/>
      <c r="AB785" s="235"/>
      <c r="AC785" s="235"/>
    </row>
    <row r="786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35"/>
      <c r="W786" s="235"/>
      <c r="X786" s="235"/>
      <c r="Y786" s="235"/>
      <c r="Z786" s="235"/>
      <c r="AA786" s="235"/>
      <c r="AB786" s="235"/>
      <c r="AC786" s="235"/>
    </row>
    <row r="787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35"/>
      <c r="W787" s="235"/>
      <c r="X787" s="235"/>
      <c r="Y787" s="235"/>
      <c r="Z787" s="235"/>
      <c r="AA787" s="235"/>
      <c r="AB787" s="235"/>
      <c r="AC787" s="235"/>
    </row>
    <row r="788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35"/>
      <c r="W788" s="235"/>
      <c r="X788" s="235"/>
      <c r="Y788" s="235"/>
      <c r="Z788" s="235"/>
      <c r="AA788" s="235"/>
      <c r="AB788" s="235"/>
      <c r="AC788" s="235"/>
    </row>
    <row r="789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35"/>
      <c r="W789" s="235"/>
      <c r="X789" s="235"/>
      <c r="Y789" s="235"/>
      <c r="Z789" s="235"/>
      <c r="AA789" s="235"/>
      <c r="AB789" s="235"/>
      <c r="AC789" s="235"/>
    </row>
    <row r="790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35"/>
      <c r="W790" s="235"/>
      <c r="X790" s="235"/>
      <c r="Y790" s="235"/>
      <c r="Z790" s="235"/>
      <c r="AA790" s="235"/>
      <c r="AB790" s="235"/>
      <c r="AC790" s="235"/>
    </row>
    <row r="79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35"/>
      <c r="W791" s="235"/>
      <c r="X791" s="235"/>
      <c r="Y791" s="235"/>
      <c r="Z791" s="235"/>
      <c r="AA791" s="235"/>
      <c r="AB791" s="235"/>
      <c r="AC791" s="235"/>
    </row>
    <row r="792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35"/>
      <c r="W792" s="235"/>
      <c r="X792" s="235"/>
      <c r="Y792" s="235"/>
      <c r="Z792" s="235"/>
      <c r="AA792" s="235"/>
      <c r="AB792" s="235"/>
      <c r="AC792" s="235"/>
    </row>
    <row r="793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35"/>
      <c r="W793" s="235"/>
      <c r="X793" s="235"/>
      <c r="Y793" s="235"/>
      <c r="Z793" s="235"/>
      <c r="AA793" s="235"/>
      <c r="AB793" s="235"/>
      <c r="AC793" s="235"/>
    </row>
    <row r="794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35"/>
      <c r="W794" s="235"/>
      <c r="X794" s="235"/>
      <c r="Y794" s="235"/>
      <c r="Z794" s="235"/>
      <c r="AA794" s="235"/>
      <c r="AB794" s="235"/>
      <c r="AC794" s="235"/>
    </row>
    <row r="795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35"/>
      <c r="W795" s="235"/>
      <c r="X795" s="235"/>
      <c r="Y795" s="235"/>
      <c r="Z795" s="235"/>
      <c r="AA795" s="235"/>
      <c r="AB795" s="235"/>
      <c r="AC795" s="235"/>
    </row>
    <row r="796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35"/>
      <c r="W796" s="235"/>
      <c r="X796" s="235"/>
      <c r="Y796" s="235"/>
      <c r="Z796" s="235"/>
      <c r="AA796" s="235"/>
      <c r="AB796" s="235"/>
      <c r="AC796" s="235"/>
    </row>
    <row r="797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35"/>
      <c r="W797" s="235"/>
      <c r="X797" s="235"/>
      <c r="Y797" s="235"/>
      <c r="Z797" s="235"/>
      <c r="AA797" s="235"/>
      <c r="AB797" s="235"/>
      <c r="AC797" s="235"/>
    </row>
    <row r="798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35"/>
      <c r="W798" s="235"/>
      <c r="X798" s="235"/>
      <c r="Y798" s="235"/>
      <c r="Z798" s="235"/>
      <c r="AA798" s="235"/>
      <c r="AB798" s="235"/>
      <c r="AC798" s="235"/>
    </row>
    <row r="799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35"/>
      <c r="W799" s="235"/>
      <c r="X799" s="235"/>
      <c r="Y799" s="235"/>
      <c r="Z799" s="235"/>
      <c r="AA799" s="235"/>
      <c r="AB799" s="235"/>
      <c r="AC799" s="235"/>
    </row>
    <row r="800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35"/>
      <c r="W800" s="235"/>
      <c r="X800" s="235"/>
      <c r="Y800" s="235"/>
      <c r="Z800" s="235"/>
      <c r="AA800" s="235"/>
      <c r="AB800" s="235"/>
      <c r="AC800" s="235"/>
    </row>
    <row r="80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35"/>
      <c r="W801" s="235"/>
      <c r="X801" s="235"/>
      <c r="Y801" s="235"/>
      <c r="Z801" s="235"/>
      <c r="AA801" s="235"/>
      <c r="AB801" s="235"/>
      <c r="AC801" s="235"/>
    </row>
    <row r="802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35"/>
      <c r="W802" s="235"/>
      <c r="X802" s="235"/>
      <c r="Y802" s="235"/>
      <c r="Z802" s="235"/>
      <c r="AA802" s="235"/>
      <c r="AB802" s="235"/>
      <c r="AC802" s="235"/>
    </row>
    <row r="803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35"/>
      <c r="W803" s="235"/>
      <c r="X803" s="235"/>
      <c r="Y803" s="235"/>
      <c r="Z803" s="235"/>
      <c r="AA803" s="235"/>
      <c r="AB803" s="235"/>
      <c r="AC803" s="235"/>
    </row>
    <row r="804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35"/>
      <c r="W804" s="235"/>
      <c r="X804" s="235"/>
      <c r="Y804" s="235"/>
      <c r="Z804" s="235"/>
      <c r="AA804" s="235"/>
      <c r="AB804" s="235"/>
      <c r="AC804" s="235"/>
    </row>
    <row r="805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35"/>
      <c r="W805" s="235"/>
      <c r="X805" s="235"/>
      <c r="Y805" s="235"/>
      <c r="Z805" s="235"/>
      <c r="AA805" s="235"/>
      <c r="AB805" s="235"/>
      <c r="AC805" s="235"/>
    </row>
    <row r="806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  <c r="AA806" s="235"/>
      <c r="AB806" s="235"/>
      <c r="AC806" s="235"/>
    </row>
    <row r="807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35"/>
      <c r="W807" s="235"/>
      <c r="X807" s="235"/>
      <c r="Y807" s="235"/>
      <c r="Z807" s="235"/>
      <c r="AA807" s="235"/>
      <c r="AB807" s="235"/>
      <c r="AC807" s="235"/>
    </row>
    <row r="808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35"/>
      <c r="W808" s="235"/>
      <c r="X808" s="235"/>
      <c r="Y808" s="235"/>
      <c r="Z808" s="235"/>
      <c r="AA808" s="235"/>
      <c r="AB808" s="235"/>
      <c r="AC808" s="235"/>
    </row>
    <row r="809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35"/>
      <c r="W809" s="235"/>
      <c r="X809" s="235"/>
      <c r="Y809" s="235"/>
      <c r="Z809" s="235"/>
      <c r="AA809" s="235"/>
      <c r="AB809" s="235"/>
      <c r="AC809" s="235"/>
    </row>
    <row r="810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35"/>
      <c r="W810" s="235"/>
      <c r="X810" s="235"/>
      <c r="Y810" s="235"/>
      <c r="Z810" s="235"/>
      <c r="AA810" s="235"/>
      <c r="AB810" s="235"/>
      <c r="AC810" s="235"/>
    </row>
    <row r="81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35"/>
      <c r="W811" s="235"/>
      <c r="X811" s="235"/>
      <c r="Y811" s="235"/>
      <c r="Z811" s="235"/>
      <c r="AA811" s="235"/>
      <c r="AB811" s="235"/>
      <c r="AC811" s="235"/>
    </row>
    <row r="812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35"/>
      <c r="W812" s="235"/>
      <c r="X812" s="235"/>
      <c r="Y812" s="235"/>
      <c r="Z812" s="235"/>
      <c r="AA812" s="235"/>
      <c r="AB812" s="235"/>
      <c r="AC812" s="235"/>
    </row>
    <row r="813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35"/>
      <c r="W813" s="235"/>
      <c r="X813" s="235"/>
      <c r="Y813" s="235"/>
      <c r="Z813" s="235"/>
      <c r="AA813" s="235"/>
      <c r="AB813" s="235"/>
      <c r="AC813" s="235"/>
    </row>
    <row r="814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35"/>
      <c r="W814" s="235"/>
      <c r="X814" s="235"/>
      <c r="Y814" s="235"/>
      <c r="Z814" s="235"/>
      <c r="AA814" s="235"/>
      <c r="AB814" s="235"/>
      <c r="AC814" s="235"/>
    </row>
    <row r="815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35"/>
      <c r="W815" s="235"/>
      <c r="X815" s="235"/>
      <c r="Y815" s="235"/>
      <c r="Z815" s="235"/>
      <c r="AA815" s="235"/>
      <c r="AB815" s="235"/>
      <c r="AC815" s="235"/>
    </row>
    <row r="816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35"/>
      <c r="W816" s="235"/>
      <c r="X816" s="235"/>
      <c r="Y816" s="235"/>
      <c r="Z816" s="235"/>
      <c r="AA816" s="235"/>
      <c r="AB816" s="235"/>
      <c r="AC816" s="235"/>
    </row>
    <row r="817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35"/>
      <c r="W817" s="235"/>
      <c r="X817" s="235"/>
      <c r="Y817" s="235"/>
      <c r="Z817" s="235"/>
      <c r="AA817" s="235"/>
      <c r="AB817" s="235"/>
      <c r="AC817" s="235"/>
    </row>
    <row r="818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35"/>
      <c r="W818" s="235"/>
      <c r="X818" s="235"/>
      <c r="Y818" s="235"/>
      <c r="Z818" s="235"/>
      <c r="AA818" s="235"/>
      <c r="AB818" s="235"/>
      <c r="AC818" s="235"/>
    </row>
    <row r="819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35"/>
      <c r="W819" s="235"/>
      <c r="X819" s="235"/>
      <c r="Y819" s="235"/>
      <c r="Z819" s="235"/>
      <c r="AA819" s="235"/>
      <c r="AB819" s="235"/>
      <c r="AC819" s="235"/>
    </row>
    <row r="820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35"/>
      <c r="W820" s="235"/>
      <c r="X820" s="235"/>
      <c r="Y820" s="235"/>
      <c r="Z820" s="235"/>
      <c r="AA820" s="235"/>
      <c r="AB820" s="235"/>
      <c r="AC820" s="235"/>
    </row>
    <row r="82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35"/>
      <c r="W821" s="235"/>
      <c r="X821" s="235"/>
      <c r="Y821" s="235"/>
      <c r="Z821" s="235"/>
      <c r="AA821" s="235"/>
      <c r="AB821" s="235"/>
      <c r="AC821" s="235"/>
    </row>
    <row r="822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35"/>
      <c r="W822" s="235"/>
      <c r="X822" s="235"/>
      <c r="Y822" s="235"/>
      <c r="Z822" s="235"/>
      <c r="AA822" s="235"/>
      <c r="AB822" s="235"/>
      <c r="AC822" s="235"/>
    </row>
    <row r="823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35"/>
      <c r="W823" s="235"/>
      <c r="X823" s="235"/>
      <c r="Y823" s="235"/>
      <c r="Z823" s="235"/>
      <c r="AA823" s="235"/>
      <c r="AB823" s="235"/>
      <c r="AC823" s="235"/>
    </row>
    <row r="824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35"/>
      <c r="W824" s="235"/>
      <c r="X824" s="235"/>
      <c r="Y824" s="235"/>
      <c r="Z824" s="235"/>
      <c r="AA824" s="235"/>
      <c r="AB824" s="235"/>
      <c r="AC824" s="235"/>
    </row>
    <row r="825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35"/>
      <c r="W825" s="235"/>
      <c r="X825" s="235"/>
      <c r="Y825" s="235"/>
      <c r="Z825" s="235"/>
      <c r="AA825" s="235"/>
      <c r="AB825" s="235"/>
      <c r="AC825" s="235"/>
    </row>
    <row r="826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35"/>
      <c r="W826" s="235"/>
      <c r="X826" s="235"/>
      <c r="Y826" s="235"/>
      <c r="Z826" s="235"/>
      <c r="AA826" s="235"/>
      <c r="AB826" s="235"/>
      <c r="AC826" s="235"/>
    </row>
    <row r="827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35"/>
      <c r="W827" s="235"/>
      <c r="X827" s="235"/>
      <c r="Y827" s="235"/>
      <c r="Z827" s="235"/>
      <c r="AA827" s="235"/>
      <c r="AB827" s="235"/>
      <c r="AC827" s="235"/>
    </row>
    <row r="828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35"/>
      <c r="W828" s="235"/>
      <c r="X828" s="235"/>
      <c r="Y828" s="235"/>
      <c r="Z828" s="235"/>
      <c r="AA828" s="235"/>
      <c r="AB828" s="235"/>
      <c r="AC828" s="235"/>
    </row>
    <row r="829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35"/>
      <c r="W829" s="235"/>
      <c r="X829" s="235"/>
      <c r="Y829" s="235"/>
      <c r="Z829" s="235"/>
      <c r="AA829" s="235"/>
      <c r="AB829" s="235"/>
      <c r="AC829" s="235"/>
    </row>
    <row r="830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35"/>
      <c r="W830" s="235"/>
      <c r="X830" s="235"/>
      <c r="Y830" s="235"/>
      <c r="Z830" s="235"/>
      <c r="AA830" s="235"/>
      <c r="AB830" s="235"/>
      <c r="AC830" s="235"/>
    </row>
    <row r="83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35"/>
      <c r="W831" s="235"/>
      <c r="X831" s="235"/>
      <c r="Y831" s="235"/>
      <c r="Z831" s="235"/>
      <c r="AA831" s="235"/>
      <c r="AB831" s="235"/>
      <c r="AC831" s="235"/>
    </row>
    <row r="832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35"/>
      <c r="W832" s="235"/>
      <c r="X832" s="235"/>
      <c r="Y832" s="235"/>
      <c r="Z832" s="235"/>
      <c r="AA832" s="235"/>
      <c r="AB832" s="235"/>
      <c r="AC832" s="235"/>
    </row>
    <row r="833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35"/>
      <c r="W833" s="235"/>
      <c r="X833" s="235"/>
      <c r="Y833" s="235"/>
      <c r="Z833" s="235"/>
      <c r="AA833" s="235"/>
      <c r="AB833" s="235"/>
      <c r="AC833" s="235"/>
    </row>
    <row r="834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35"/>
      <c r="W834" s="235"/>
      <c r="X834" s="235"/>
      <c r="Y834" s="235"/>
      <c r="Z834" s="235"/>
      <c r="AA834" s="235"/>
      <c r="AB834" s="235"/>
      <c r="AC834" s="235"/>
    </row>
    <row r="835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35"/>
      <c r="W835" s="235"/>
      <c r="X835" s="235"/>
      <c r="Y835" s="235"/>
      <c r="Z835" s="235"/>
      <c r="AA835" s="235"/>
      <c r="AB835" s="235"/>
      <c r="AC835" s="235"/>
    </row>
    <row r="836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35"/>
      <c r="W836" s="235"/>
      <c r="X836" s="235"/>
      <c r="Y836" s="235"/>
      <c r="Z836" s="235"/>
      <c r="AA836" s="235"/>
      <c r="AB836" s="235"/>
      <c r="AC836" s="235"/>
    </row>
    <row r="837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35"/>
      <c r="W837" s="235"/>
      <c r="X837" s="235"/>
      <c r="Y837" s="235"/>
      <c r="Z837" s="235"/>
      <c r="AA837" s="235"/>
      <c r="AB837" s="235"/>
      <c r="AC837" s="235"/>
    </row>
    <row r="838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35"/>
      <c r="W838" s="235"/>
      <c r="X838" s="235"/>
      <c r="Y838" s="235"/>
      <c r="Z838" s="235"/>
      <c r="AA838" s="235"/>
      <c r="AB838" s="235"/>
      <c r="AC838" s="235"/>
    </row>
    <row r="839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35"/>
      <c r="W839" s="235"/>
      <c r="X839" s="235"/>
      <c r="Y839" s="235"/>
      <c r="Z839" s="235"/>
      <c r="AA839" s="235"/>
      <c r="AB839" s="235"/>
      <c r="AC839" s="235"/>
    </row>
    <row r="840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35"/>
      <c r="W840" s="235"/>
      <c r="X840" s="235"/>
      <c r="Y840" s="235"/>
      <c r="Z840" s="235"/>
      <c r="AA840" s="235"/>
      <c r="AB840" s="235"/>
      <c r="AC840" s="235"/>
    </row>
    <row r="84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35"/>
      <c r="W841" s="235"/>
      <c r="X841" s="235"/>
      <c r="Y841" s="235"/>
      <c r="Z841" s="235"/>
      <c r="AA841" s="235"/>
      <c r="AB841" s="235"/>
      <c r="AC841" s="235"/>
    </row>
    <row r="842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35"/>
      <c r="W842" s="235"/>
      <c r="X842" s="235"/>
      <c r="Y842" s="235"/>
      <c r="Z842" s="235"/>
      <c r="AA842" s="235"/>
      <c r="AB842" s="235"/>
      <c r="AC842" s="235"/>
    </row>
    <row r="843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35"/>
      <c r="W843" s="235"/>
      <c r="X843" s="235"/>
      <c r="Y843" s="235"/>
      <c r="Z843" s="235"/>
      <c r="AA843" s="235"/>
      <c r="AB843" s="235"/>
      <c r="AC843" s="235"/>
    </row>
    <row r="844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35"/>
      <c r="W844" s="235"/>
      <c r="X844" s="235"/>
      <c r="Y844" s="235"/>
      <c r="Z844" s="235"/>
      <c r="AA844" s="235"/>
      <c r="AB844" s="235"/>
      <c r="AC844" s="235"/>
    </row>
    <row r="845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35"/>
      <c r="W845" s="235"/>
      <c r="X845" s="235"/>
      <c r="Y845" s="235"/>
      <c r="Z845" s="235"/>
      <c r="AA845" s="235"/>
      <c r="AB845" s="235"/>
      <c r="AC845" s="235"/>
    </row>
    <row r="846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35"/>
      <c r="W846" s="235"/>
      <c r="X846" s="235"/>
      <c r="Y846" s="235"/>
      <c r="Z846" s="235"/>
      <c r="AA846" s="235"/>
      <c r="AB846" s="235"/>
      <c r="AC846" s="235"/>
    </row>
    <row r="847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35"/>
      <c r="W847" s="235"/>
      <c r="X847" s="235"/>
      <c r="Y847" s="235"/>
      <c r="Z847" s="235"/>
      <c r="AA847" s="235"/>
      <c r="AB847" s="235"/>
      <c r="AC847" s="235"/>
    </row>
    <row r="848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35"/>
      <c r="W848" s="235"/>
      <c r="X848" s="235"/>
      <c r="Y848" s="235"/>
      <c r="Z848" s="235"/>
      <c r="AA848" s="235"/>
      <c r="AB848" s="235"/>
      <c r="AC848" s="235"/>
    </row>
    <row r="849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35"/>
      <c r="W849" s="235"/>
      <c r="X849" s="235"/>
      <c r="Y849" s="235"/>
      <c r="Z849" s="235"/>
      <c r="AA849" s="235"/>
      <c r="AB849" s="235"/>
      <c r="AC849" s="235"/>
    </row>
    <row r="850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35"/>
      <c r="W850" s="235"/>
      <c r="X850" s="235"/>
      <c r="Y850" s="235"/>
      <c r="Z850" s="235"/>
      <c r="AA850" s="235"/>
      <c r="AB850" s="235"/>
      <c r="AC850" s="235"/>
    </row>
    <row r="85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35"/>
      <c r="W851" s="235"/>
      <c r="X851" s="235"/>
      <c r="Y851" s="235"/>
      <c r="Z851" s="235"/>
      <c r="AA851" s="235"/>
      <c r="AB851" s="235"/>
      <c r="AC851" s="235"/>
    </row>
    <row r="852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35"/>
      <c r="W852" s="235"/>
      <c r="X852" s="235"/>
      <c r="Y852" s="235"/>
      <c r="Z852" s="235"/>
      <c r="AA852" s="235"/>
      <c r="AB852" s="235"/>
      <c r="AC852" s="235"/>
    </row>
    <row r="853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35"/>
      <c r="W853" s="235"/>
      <c r="X853" s="235"/>
      <c r="Y853" s="235"/>
      <c r="Z853" s="235"/>
      <c r="AA853" s="235"/>
      <c r="AB853" s="235"/>
      <c r="AC853" s="235"/>
    </row>
    <row r="854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35"/>
      <c r="W854" s="235"/>
      <c r="X854" s="235"/>
      <c r="Y854" s="235"/>
      <c r="Z854" s="235"/>
      <c r="AA854" s="235"/>
      <c r="AB854" s="235"/>
      <c r="AC854" s="235"/>
    </row>
    <row r="855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35"/>
      <c r="W855" s="235"/>
      <c r="X855" s="235"/>
      <c r="Y855" s="235"/>
      <c r="Z855" s="235"/>
      <c r="AA855" s="235"/>
      <c r="AB855" s="235"/>
      <c r="AC855" s="235"/>
    </row>
    <row r="856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35"/>
      <c r="W856" s="235"/>
      <c r="X856" s="235"/>
      <c r="Y856" s="235"/>
      <c r="Z856" s="235"/>
      <c r="AA856" s="235"/>
      <c r="AB856" s="235"/>
      <c r="AC856" s="235"/>
    </row>
    <row r="857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35"/>
      <c r="W857" s="235"/>
      <c r="X857" s="235"/>
      <c r="Y857" s="235"/>
      <c r="Z857" s="235"/>
      <c r="AA857" s="235"/>
      <c r="AB857" s="235"/>
      <c r="AC857" s="235"/>
    </row>
    <row r="858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35"/>
      <c r="W858" s="235"/>
      <c r="X858" s="235"/>
      <c r="Y858" s="235"/>
      <c r="Z858" s="235"/>
      <c r="AA858" s="235"/>
      <c r="AB858" s="235"/>
      <c r="AC858" s="235"/>
    </row>
    <row r="859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35"/>
      <c r="W859" s="235"/>
      <c r="X859" s="235"/>
      <c r="Y859" s="235"/>
      <c r="Z859" s="235"/>
      <c r="AA859" s="235"/>
      <c r="AB859" s="235"/>
      <c r="AC859" s="235"/>
    </row>
    <row r="860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35"/>
      <c r="W860" s="235"/>
      <c r="X860" s="235"/>
      <c r="Y860" s="235"/>
      <c r="Z860" s="235"/>
      <c r="AA860" s="235"/>
      <c r="AB860" s="235"/>
      <c r="AC860" s="235"/>
    </row>
    <row r="86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35"/>
      <c r="W861" s="235"/>
      <c r="X861" s="235"/>
      <c r="Y861" s="235"/>
      <c r="Z861" s="235"/>
      <c r="AA861" s="235"/>
      <c r="AB861" s="235"/>
      <c r="AC861" s="235"/>
    </row>
    <row r="862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35"/>
      <c r="W862" s="235"/>
      <c r="X862" s="235"/>
      <c r="Y862" s="235"/>
      <c r="Z862" s="235"/>
      <c r="AA862" s="235"/>
      <c r="AB862" s="235"/>
      <c r="AC862" s="235"/>
    </row>
    <row r="863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35"/>
      <c r="W863" s="235"/>
      <c r="X863" s="235"/>
      <c r="Y863" s="235"/>
      <c r="Z863" s="235"/>
      <c r="AA863" s="235"/>
      <c r="AB863" s="235"/>
      <c r="AC863" s="235"/>
    </row>
    <row r="864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35"/>
      <c r="W864" s="235"/>
      <c r="X864" s="235"/>
      <c r="Y864" s="235"/>
      <c r="Z864" s="235"/>
      <c r="AA864" s="235"/>
      <c r="AB864" s="235"/>
      <c r="AC864" s="235"/>
    </row>
    <row r="865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35"/>
      <c r="W865" s="235"/>
      <c r="X865" s="235"/>
      <c r="Y865" s="235"/>
      <c r="Z865" s="235"/>
      <c r="AA865" s="235"/>
      <c r="AB865" s="235"/>
      <c r="AC865" s="235"/>
    </row>
    <row r="866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35"/>
      <c r="W866" s="235"/>
      <c r="X866" s="235"/>
      <c r="Y866" s="235"/>
      <c r="Z866" s="235"/>
      <c r="AA866" s="235"/>
      <c r="AB866" s="235"/>
      <c r="AC866" s="235"/>
    </row>
    <row r="867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35"/>
      <c r="W867" s="235"/>
      <c r="X867" s="235"/>
      <c r="Y867" s="235"/>
      <c r="Z867" s="235"/>
      <c r="AA867" s="235"/>
      <c r="AB867" s="235"/>
      <c r="AC867" s="235"/>
    </row>
    <row r="868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35"/>
      <c r="W868" s="235"/>
      <c r="X868" s="235"/>
      <c r="Y868" s="235"/>
      <c r="Z868" s="235"/>
      <c r="AA868" s="235"/>
      <c r="AB868" s="235"/>
      <c r="AC868" s="235"/>
    </row>
    <row r="869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35"/>
      <c r="W869" s="235"/>
      <c r="X869" s="235"/>
      <c r="Y869" s="235"/>
      <c r="Z869" s="235"/>
      <c r="AA869" s="235"/>
      <c r="AB869" s="235"/>
      <c r="AC869" s="235"/>
    </row>
    <row r="870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35"/>
      <c r="W870" s="235"/>
      <c r="X870" s="235"/>
      <c r="Y870" s="235"/>
      <c r="Z870" s="235"/>
      <c r="AA870" s="235"/>
      <c r="AB870" s="235"/>
      <c r="AC870" s="235"/>
    </row>
    <row r="87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35"/>
      <c r="W871" s="235"/>
      <c r="X871" s="235"/>
      <c r="Y871" s="235"/>
      <c r="Z871" s="235"/>
      <c r="AA871" s="235"/>
      <c r="AB871" s="235"/>
      <c r="AC871" s="235"/>
    </row>
    <row r="872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35"/>
      <c r="W872" s="235"/>
      <c r="X872" s="235"/>
      <c r="Y872" s="235"/>
      <c r="Z872" s="235"/>
      <c r="AA872" s="235"/>
      <c r="AB872" s="235"/>
      <c r="AC872" s="235"/>
    </row>
    <row r="873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35"/>
      <c r="W873" s="235"/>
      <c r="X873" s="235"/>
      <c r="Y873" s="235"/>
      <c r="Z873" s="235"/>
      <c r="AA873" s="235"/>
      <c r="AB873" s="235"/>
      <c r="AC873" s="235"/>
    </row>
    <row r="874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35"/>
      <c r="W874" s="235"/>
      <c r="X874" s="235"/>
      <c r="Y874" s="235"/>
      <c r="Z874" s="235"/>
      <c r="AA874" s="235"/>
      <c r="AB874" s="235"/>
      <c r="AC874" s="235"/>
    </row>
    <row r="875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35"/>
      <c r="W875" s="235"/>
      <c r="X875" s="235"/>
      <c r="Y875" s="235"/>
      <c r="Z875" s="235"/>
      <c r="AA875" s="235"/>
      <c r="AB875" s="235"/>
      <c r="AC875" s="235"/>
    </row>
    <row r="876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35"/>
      <c r="W876" s="235"/>
      <c r="X876" s="235"/>
      <c r="Y876" s="235"/>
      <c r="Z876" s="235"/>
      <c r="AA876" s="235"/>
      <c r="AB876" s="235"/>
      <c r="AC876" s="235"/>
    </row>
    <row r="877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35"/>
      <c r="W877" s="235"/>
      <c r="X877" s="235"/>
      <c r="Y877" s="235"/>
      <c r="Z877" s="235"/>
      <c r="AA877" s="235"/>
      <c r="AB877" s="235"/>
      <c r="AC877" s="235"/>
    </row>
    <row r="878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35"/>
      <c r="W878" s="235"/>
      <c r="X878" s="235"/>
      <c r="Y878" s="235"/>
      <c r="Z878" s="235"/>
      <c r="AA878" s="235"/>
      <c r="AB878" s="235"/>
      <c r="AC878" s="235"/>
    </row>
    <row r="879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35"/>
      <c r="W879" s="235"/>
      <c r="X879" s="235"/>
      <c r="Y879" s="235"/>
      <c r="Z879" s="235"/>
      <c r="AA879" s="235"/>
      <c r="AB879" s="235"/>
      <c r="AC879" s="235"/>
    </row>
    <row r="880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35"/>
      <c r="W880" s="235"/>
      <c r="X880" s="235"/>
      <c r="Y880" s="235"/>
      <c r="Z880" s="235"/>
      <c r="AA880" s="235"/>
      <c r="AB880" s="235"/>
      <c r="AC880" s="235"/>
    </row>
    <row r="88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35"/>
      <c r="W881" s="235"/>
      <c r="X881" s="235"/>
      <c r="Y881" s="235"/>
      <c r="Z881" s="235"/>
      <c r="AA881" s="235"/>
      <c r="AB881" s="235"/>
      <c r="AC881" s="235"/>
    </row>
    <row r="882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35"/>
      <c r="W882" s="235"/>
      <c r="X882" s="235"/>
      <c r="Y882" s="235"/>
      <c r="Z882" s="235"/>
      <c r="AA882" s="235"/>
      <c r="AB882" s="235"/>
      <c r="AC882" s="235"/>
    </row>
    <row r="883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35"/>
      <c r="W883" s="235"/>
      <c r="X883" s="235"/>
      <c r="Y883" s="235"/>
      <c r="Z883" s="235"/>
      <c r="AA883" s="235"/>
      <c r="AB883" s="235"/>
      <c r="AC883" s="235"/>
    </row>
    <row r="884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35"/>
      <c r="W884" s="235"/>
      <c r="X884" s="235"/>
      <c r="Y884" s="235"/>
      <c r="Z884" s="235"/>
      <c r="AA884" s="235"/>
      <c r="AB884" s="235"/>
      <c r="AC884" s="235"/>
    </row>
    <row r="885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35"/>
      <c r="W885" s="235"/>
      <c r="X885" s="235"/>
      <c r="Y885" s="235"/>
      <c r="Z885" s="235"/>
      <c r="AA885" s="235"/>
      <c r="AB885" s="235"/>
      <c r="AC885" s="235"/>
    </row>
    <row r="886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35"/>
      <c r="W886" s="235"/>
      <c r="X886" s="235"/>
      <c r="Y886" s="235"/>
      <c r="Z886" s="235"/>
      <c r="AA886" s="235"/>
      <c r="AB886" s="235"/>
      <c r="AC886" s="235"/>
    </row>
    <row r="887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35"/>
      <c r="W887" s="235"/>
      <c r="X887" s="235"/>
      <c r="Y887" s="235"/>
      <c r="Z887" s="235"/>
      <c r="AA887" s="235"/>
      <c r="AB887" s="235"/>
      <c r="AC887" s="235"/>
    </row>
    <row r="888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35"/>
      <c r="W888" s="235"/>
      <c r="X888" s="235"/>
      <c r="Y888" s="235"/>
      <c r="Z888" s="235"/>
      <c r="AA888" s="235"/>
      <c r="AB888" s="235"/>
      <c r="AC888" s="235"/>
    </row>
    <row r="889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35"/>
      <c r="W889" s="235"/>
      <c r="X889" s="235"/>
      <c r="Y889" s="235"/>
      <c r="Z889" s="235"/>
      <c r="AA889" s="235"/>
      <c r="AB889" s="235"/>
      <c r="AC889" s="235"/>
    </row>
    <row r="890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35"/>
      <c r="W890" s="235"/>
      <c r="X890" s="235"/>
      <c r="Y890" s="235"/>
      <c r="Z890" s="235"/>
      <c r="AA890" s="235"/>
      <c r="AB890" s="235"/>
      <c r="AC890" s="235"/>
    </row>
    <row r="89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35"/>
      <c r="W891" s="235"/>
      <c r="X891" s="235"/>
      <c r="Y891" s="235"/>
      <c r="Z891" s="235"/>
      <c r="AA891" s="235"/>
      <c r="AB891" s="235"/>
      <c r="AC891" s="235"/>
    </row>
    <row r="892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35"/>
      <c r="W892" s="235"/>
      <c r="X892" s="235"/>
      <c r="Y892" s="235"/>
      <c r="Z892" s="235"/>
      <c r="AA892" s="235"/>
      <c r="AB892" s="235"/>
      <c r="AC892" s="235"/>
    </row>
    <row r="893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35"/>
      <c r="W893" s="235"/>
      <c r="X893" s="235"/>
      <c r="Y893" s="235"/>
      <c r="Z893" s="235"/>
      <c r="AA893" s="235"/>
      <c r="AB893" s="235"/>
      <c r="AC893" s="235"/>
    </row>
    <row r="894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35"/>
      <c r="W894" s="235"/>
      <c r="X894" s="235"/>
      <c r="Y894" s="235"/>
      <c r="Z894" s="235"/>
      <c r="AA894" s="235"/>
      <c r="AB894" s="235"/>
      <c r="AC894" s="235"/>
    </row>
    <row r="895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  <c r="AA895" s="235"/>
      <c r="AB895" s="235"/>
      <c r="AC895" s="235"/>
    </row>
    <row r="896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35"/>
      <c r="W896" s="235"/>
      <c r="X896" s="235"/>
      <c r="Y896" s="235"/>
      <c r="Z896" s="235"/>
      <c r="AA896" s="235"/>
      <c r="AB896" s="235"/>
      <c r="AC896" s="235"/>
    </row>
    <row r="897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35"/>
      <c r="W897" s="235"/>
      <c r="X897" s="235"/>
      <c r="Y897" s="235"/>
      <c r="Z897" s="235"/>
      <c r="AA897" s="235"/>
      <c r="AB897" s="235"/>
      <c r="AC897" s="235"/>
    </row>
    <row r="898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35"/>
      <c r="W898" s="235"/>
      <c r="X898" s="235"/>
      <c r="Y898" s="235"/>
      <c r="Z898" s="235"/>
      <c r="AA898" s="235"/>
      <c r="AB898" s="235"/>
      <c r="AC898" s="235"/>
    </row>
    <row r="899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35"/>
      <c r="W899" s="235"/>
      <c r="X899" s="235"/>
      <c r="Y899" s="235"/>
      <c r="Z899" s="235"/>
      <c r="AA899" s="235"/>
      <c r="AB899" s="235"/>
      <c r="AC899" s="235"/>
    </row>
    <row r="900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35"/>
      <c r="W900" s="235"/>
      <c r="X900" s="235"/>
      <c r="Y900" s="235"/>
      <c r="Z900" s="235"/>
      <c r="AA900" s="235"/>
      <c r="AB900" s="235"/>
      <c r="AC900" s="235"/>
    </row>
    <row r="90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35"/>
      <c r="W901" s="235"/>
      <c r="X901" s="235"/>
      <c r="Y901" s="235"/>
      <c r="Z901" s="235"/>
      <c r="AA901" s="235"/>
      <c r="AB901" s="235"/>
      <c r="AC901" s="235"/>
    </row>
    <row r="902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35"/>
      <c r="W902" s="235"/>
      <c r="X902" s="235"/>
      <c r="Y902" s="235"/>
      <c r="Z902" s="235"/>
      <c r="AA902" s="235"/>
      <c r="AB902" s="235"/>
      <c r="AC902" s="235"/>
    </row>
    <row r="903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35"/>
      <c r="W903" s="235"/>
      <c r="X903" s="235"/>
      <c r="Y903" s="235"/>
      <c r="Z903" s="235"/>
      <c r="AA903" s="235"/>
      <c r="AB903" s="235"/>
      <c r="AC903" s="235"/>
    </row>
    <row r="904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35"/>
      <c r="W904" s="235"/>
      <c r="X904" s="235"/>
      <c r="Y904" s="235"/>
      <c r="Z904" s="235"/>
      <c r="AA904" s="235"/>
      <c r="AB904" s="235"/>
      <c r="AC904" s="235"/>
    </row>
    <row r="905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35"/>
      <c r="W905" s="235"/>
      <c r="X905" s="235"/>
      <c r="Y905" s="235"/>
      <c r="Z905" s="235"/>
      <c r="AA905" s="235"/>
      <c r="AB905" s="235"/>
      <c r="AC905" s="235"/>
    </row>
    <row r="906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35"/>
      <c r="W906" s="235"/>
      <c r="X906" s="235"/>
      <c r="Y906" s="235"/>
      <c r="Z906" s="235"/>
      <c r="AA906" s="235"/>
      <c r="AB906" s="235"/>
      <c r="AC906" s="235"/>
    </row>
    <row r="907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35"/>
      <c r="W907" s="235"/>
      <c r="X907" s="235"/>
      <c r="Y907" s="235"/>
      <c r="Z907" s="235"/>
      <c r="AA907" s="235"/>
      <c r="AB907" s="235"/>
      <c r="AC907" s="235"/>
    </row>
    <row r="908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35"/>
      <c r="W908" s="235"/>
      <c r="X908" s="235"/>
      <c r="Y908" s="235"/>
      <c r="Z908" s="235"/>
      <c r="AA908" s="235"/>
      <c r="AB908" s="235"/>
      <c r="AC908" s="235"/>
    </row>
    <row r="909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35"/>
      <c r="W909" s="235"/>
      <c r="X909" s="235"/>
      <c r="Y909" s="235"/>
      <c r="Z909" s="235"/>
      <c r="AA909" s="235"/>
      <c r="AB909" s="235"/>
      <c r="AC909" s="235"/>
    </row>
    <row r="910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35"/>
      <c r="W910" s="235"/>
      <c r="X910" s="235"/>
      <c r="Y910" s="235"/>
      <c r="Z910" s="235"/>
      <c r="AA910" s="235"/>
      <c r="AB910" s="235"/>
      <c r="AC910" s="235"/>
    </row>
    <row r="91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35"/>
      <c r="W911" s="235"/>
      <c r="X911" s="235"/>
      <c r="Y911" s="235"/>
      <c r="Z911" s="235"/>
      <c r="AA911" s="235"/>
      <c r="AB911" s="235"/>
      <c r="AC911" s="235"/>
    </row>
    <row r="912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35"/>
      <c r="W912" s="235"/>
      <c r="X912" s="235"/>
      <c r="Y912" s="235"/>
      <c r="Z912" s="235"/>
      <c r="AA912" s="235"/>
      <c r="AB912" s="235"/>
      <c r="AC912" s="235"/>
    </row>
    <row r="913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35"/>
      <c r="W913" s="235"/>
      <c r="X913" s="235"/>
      <c r="Y913" s="235"/>
      <c r="Z913" s="235"/>
      <c r="AA913" s="235"/>
      <c r="AB913" s="235"/>
      <c r="AC913" s="235"/>
    </row>
    <row r="914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35"/>
      <c r="W914" s="235"/>
      <c r="X914" s="235"/>
      <c r="Y914" s="235"/>
      <c r="Z914" s="235"/>
      <c r="AA914" s="235"/>
      <c r="AB914" s="235"/>
      <c r="AC914" s="235"/>
    </row>
    <row r="915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35"/>
      <c r="W915" s="235"/>
      <c r="X915" s="235"/>
      <c r="Y915" s="235"/>
      <c r="Z915" s="235"/>
      <c r="AA915" s="235"/>
      <c r="AB915" s="235"/>
      <c r="AC915" s="235"/>
    </row>
    <row r="916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35"/>
      <c r="W916" s="235"/>
      <c r="X916" s="235"/>
      <c r="Y916" s="235"/>
      <c r="Z916" s="235"/>
      <c r="AA916" s="235"/>
      <c r="AB916" s="235"/>
      <c r="AC916" s="235"/>
    </row>
    <row r="917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35"/>
      <c r="W917" s="235"/>
      <c r="X917" s="235"/>
      <c r="Y917" s="235"/>
      <c r="Z917" s="235"/>
      <c r="AA917" s="235"/>
      <c r="AB917" s="235"/>
      <c r="AC917" s="235"/>
    </row>
    <row r="918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35"/>
      <c r="W918" s="235"/>
      <c r="X918" s="235"/>
      <c r="Y918" s="235"/>
      <c r="Z918" s="235"/>
      <c r="AA918" s="235"/>
      <c r="AB918" s="235"/>
      <c r="AC918" s="235"/>
    </row>
    <row r="919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35"/>
      <c r="W919" s="235"/>
      <c r="X919" s="235"/>
      <c r="Y919" s="235"/>
      <c r="Z919" s="235"/>
      <c r="AA919" s="235"/>
      <c r="AB919" s="235"/>
      <c r="AC919" s="235"/>
    </row>
    <row r="920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35"/>
      <c r="W920" s="235"/>
      <c r="X920" s="235"/>
      <c r="Y920" s="235"/>
      <c r="Z920" s="235"/>
      <c r="AA920" s="235"/>
      <c r="AB920" s="235"/>
      <c r="AC920" s="235"/>
    </row>
    <row r="92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35"/>
      <c r="W921" s="235"/>
      <c r="X921" s="235"/>
      <c r="Y921" s="235"/>
      <c r="Z921" s="235"/>
      <c r="AA921" s="235"/>
      <c r="AB921" s="235"/>
      <c r="AC921" s="235"/>
    </row>
    <row r="922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35"/>
      <c r="W922" s="235"/>
      <c r="X922" s="235"/>
      <c r="Y922" s="235"/>
      <c r="Z922" s="235"/>
      <c r="AA922" s="235"/>
      <c r="AB922" s="235"/>
      <c r="AC922" s="235"/>
    </row>
    <row r="923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35"/>
      <c r="W923" s="235"/>
      <c r="X923" s="235"/>
      <c r="Y923" s="235"/>
      <c r="Z923" s="235"/>
      <c r="AA923" s="235"/>
      <c r="AB923" s="235"/>
      <c r="AC923" s="235"/>
    </row>
    <row r="924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35"/>
      <c r="W924" s="235"/>
      <c r="X924" s="235"/>
      <c r="Y924" s="235"/>
      <c r="Z924" s="235"/>
      <c r="AA924" s="235"/>
      <c r="AB924" s="235"/>
      <c r="AC924" s="235"/>
    </row>
    <row r="925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35"/>
      <c r="W925" s="235"/>
      <c r="X925" s="235"/>
      <c r="Y925" s="235"/>
      <c r="Z925" s="235"/>
      <c r="AA925" s="235"/>
      <c r="AB925" s="235"/>
      <c r="AC925" s="235"/>
    </row>
    <row r="926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35"/>
      <c r="W926" s="235"/>
      <c r="X926" s="235"/>
      <c r="Y926" s="235"/>
      <c r="Z926" s="235"/>
      <c r="AA926" s="235"/>
      <c r="AB926" s="235"/>
      <c r="AC926" s="235"/>
    </row>
    <row r="927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35"/>
      <c r="W927" s="235"/>
      <c r="X927" s="235"/>
      <c r="Y927" s="235"/>
      <c r="Z927" s="235"/>
      <c r="AA927" s="235"/>
      <c r="AB927" s="235"/>
      <c r="AC927" s="235"/>
    </row>
    <row r="928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35"/>
      <c r="W928" s="235"/>
      <c r="X928" s="235"/>
      <c r="Y928" s="235"/>
      <c r="Z928" s="235"/>
      <c r="AA928" s="235"/>
      <c r="AB928" s="235"/>
      <c r="AC928" s="235"/>
    </row>
    <row r="929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35"/>
      <c r="W929" s="235"/>
      <c r="X929" s="235"/>
      <c r="Y929" s="235"/>
      <c r="Z929" s="235"/>
      <c r="AA929" s="235"/>
      <c r="AB929" s="235"/>
      <c r="AC929" s="235"/>
    </row>
    <row r="930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35"/>
      <c r="W930" s="235"/>
      <c r="X930" s="235"/>
      <c r="Y930" s="235"/>
      <c r="Z930" s="235"/>
      <c r="AA930" s="235"/>
      <c r="AB930" s="235"/>
      <c r="AC930" s="235"/>
    </row>
    <row r="93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35"/>
      <c r="W931" s="235"/>
      <c r="X931" s="235"/>
      <c r="Y931" s="235"/>
      <c r="Z931" s="235"/>
      <c r="AA931" s="235"/>
      <c r="AB931" s="235"/>
      <c r="AC931" s="235"/>
    </row>
    <row r="932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35"/>
      <c r="W932" s="235"/>
      <c r="X932" s="235"/>
      <c r="Y932" s="235"/>
      <c r="Z932" s="235"/>
      <c r="AA932" s="235"/>
      <c r="AB932" s="235"/>
      <c r="AC932" s="235"/>
    </row>
    <row r="933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35"/>
      <c r="W933" s="235"/>
      <c r="X933" s="235"/>
      <c r="Y933" s="235"/>
      <c r="Z933" s="235"/>
      <c r="AA933" s="235"/>
      <c r="AB933" s="235"/>
      <c r="AC933" s="235"/>
    </row>
    <row r="934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35"/>
      <c r="W934" s="235"/>
      <c r="X934" s="235"/>
      <c r="Y934" s="235"/>
      <c r="Z934" s="235"/>
      <c r="AA934" s="235"/>
      <c r="AB934" s="235"/>
      <c r="AC934" s="235"/>
    </row>
    <row r="935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35"/>
      <c r="W935" s="235"/>
      <c r="X935" s="235"/>
      <c r="Y935" s="235"/>
      <c r="Z935" s="235"/>
      <c r="AA935" s="235"/>
      <c r="AB935" s="235"/>
      <c r="AC935" s="235"/>
    </row>
    <row r="936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35"/>
      <c r="W936" s="235"/>
      <c r="X936" s="235"/>
      <c r="Y936" s="235"/>
      <c r="Z936" s="235"/>
      <c r="AA936" s="235"/>
      <c r="AB936" s="235"/>
      <c r="AC936" s="235"/>
    </row>
    <row r="937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35"/>
      <c r="W937" s="235"/>
      <c r="X937" s="235"/>
      <c r="Y937" s="235"/>
      <c r="Z937" s="235"/>
      <c r="AA937" s="235"/>
      <c r="AB937" s="235"/>
      <c r="AC937" s="235"/>
    </row>
    <row r="938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35"/>
      <c r="W938" s="235"/>
      <c r="X938" s="235"/>
      <c r="Y938" s="235"/>
      <c r="Z938" s="235"/>
      <c r="AA938" s="235"/>
      <c r="AB938" s="235"/>
      <c r="AC938" s="235"/>
    </row>
    <row r="939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35"/>
      <c r="W939" s="235"/>
      <c r="X939" s="235"/>
      <c r="Y939" s="235"/>
      <c r="Z939" s="235"/>
      <c r="AA939" s="235"/>
      <c r="AB939" s="235"/>
      <c r="AC939" s="235"/>
    </row>
    <row r="940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35"/>
      <c r="W940" s="235"/>
      <c r="X940" s="235"/>
      <c r="Y940" s="235"/>
      <c r="Z940" s="235"/>
      <c r="AA940" s="235"/>
      <c r="AB940" s="235"/>
      <c r="AC940" s="235"/>
    </row>
    <row r="94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35"/>
      <c r="W941" s="235"/>
      <c r="X941" s="235"/>
      <c r="Y941" s="235"/>
      <c r="Z941" s="235"/>
      <c r="AA941" s="235"/>
      <c r="AB941" s="235"/>
      <c r="AC941" s="235"/>
    </row>
    <row r="942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35"/>
      <c r="W942" s="235"/>
      <c r="X942" s="235"/>
      <c r="Y942" s="235"/>
      <c r="Z942" s="235"/>
      <c r="AA942" s="235"/>
      <c r="AB942" s="235"/>
      <c r="AC942" s="235"/>
    </row>
    <row r="943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35"/>
      <c r="W943" s="235"/>
      <c r="X943" s="235"/>
      <c r="Y943" s="235"/>
      <c r="Z943" s="235"/>
      <c r="AA943" s="235"/>
      <c r="AB943" s="235"/>
      <c r="AC943" s="235"/>
    </row>
    <row r="944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35"/>
      <c r="W944" s="235"/>
      <c r="X944" s="235"/>
      <c r="Y944" s="235"/>
      <c r="Z944" s="235"/>
      <c r="AA944" s="235"/>
      <c r="AB944" s="235"/>
      <c r="AC944" s="235"/>
    </row>
    <row r="945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35"/>
      <c r="W945" s="235"/>
      <c r="X945" s="235"/>
      <c r="Y945" s="235"/>
      <c r="Z945" s="235"/>
      <c r="AA945" s="235"/>
      <c r="AB945" s="235"/>
      <c r="AC945" s="235"/>
    </row>
    <row r="946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35"/>
      <c r="W946" s="235"/>
      <c r="X946" s="235"/>
      <c r="Y946" s="235"/>
      <c r="Z946" s="235"/>
      <c r="AA946" s="235"/>
      <c r="AB946" s="235"/>
      <c r="AC946" s="235"/>
    </row>
    <row r="947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35"/>
      <c r="W947" s="235"/>
      <c r="X947" s="235"/>
      <c r="Y947" s="235"/>
      <c r="Z947" s="235"/>
      <c r="AA947" s="235"/>
      <c r="AB947" s="235"/>
      <c r="AC947" s="235"/>
    </row>
    <row r="948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35"/>
      <c r="W948" s="235"/>
      <c r="X948" s="235"/>
      <c r="Y948" s="235"/>
      <c r="Z948" s="235"/>
      <c r="AA948" s="235"/>
      <c r="AB948" s="235"/>
      <c r="AC948" s="235"/>
    </row>
    <row r="949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35"/>
      <c r="W949" s="235"/>
      <c r="X949" s="235"/>
      <c r="Y949" s="235"/>
      <c r="Z949" s="235"/>
      <c r="AA949" s="235"/>
      <c r="AB949" s="235"/>
      <c r="AC949" s="235"/>
    </row>
    <row r="950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35"/>
      <c r="W950" s="235"/>
      <c r="X950" s="235"/>
      <c r="Y950" s="235"/>
      <c r="Z950" s="235"/>
      <c r="AA950" s="235"/>
      <c r="AB950" s="235"/>
      <c r="AC950" s="235"/>
    </row>
    <row r="95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35"/>
      <c r="W951" s="235"/>
      <c r="X951" s="235"/>
      <c r="Y951" s="235"/>
      <c r="Z951" s="235"/>
      <c r="AA951" s="235"/>
      <c r="AB951" s="235"/>
      <c r="AC951" s="235"/>
    </row>
    <row r="952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35"/>
      <c r="W952" s="235"/>
      <c r="X952" s="235"/>
      <c r="Y952" s="235"/>
      <c r="Z952" s="235"/>
      <c r="AA952" s="235"/>
      <c r="AB952" s="235"/>
      <c r="AC952" s="235"/>
    </row>
    <row r="953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35"/>
      <c r="W953" s="235"/>
      <c r="X953" s="235"/>
      <c r="Y953" s="235"/>
      <c r="Z953" s="235"/>
      <c r="AA953" s="235"/>
      <c r="AB953" s="235"/>
      <c r="AC953" s="235"/>
    </row>
    <row r="954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35"/>
      <c r="W954" s="235"/>
      <c r="X954" s="235"/>
      <c r="Y954" s="235"/>
      <c r="Z954" s="235"/>
      <c r="AA954" s="235"/>
      <c r="AB954" s="235"/>
      <c r="AC954" s="235"/>
    </row>
    <row r="955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35"/>
      <c r="W955" s="235"/>
      <c r="X955" s="235"/>
      <c r="Y955" s="235"/>
      <c r="Z955" s="235"/>
      <c r="AA955" s="235"/>
      <c r="AB955" s="235"/>
      <c r="AC955" s="235"/>
    </row>
    <row r="956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35"/>
      <c r="W956" s="235"/>
      <c r="X956" s="235"/>
      <c r="Y956" s="235"/>
      <c r="Z956" s="235"/>
      <c r="AA956" s="235"/>
      <c r="AB956" s="235"/>
      <c r="AC956" s="235"/>
    </row>
    <row r="957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35"/>
      <c r="W957" s="235"/>
      <c r="X957" s="235"/>
      <c r="Y957" s="235"/>
      <c r="Z957" s="235"/>
      <c r="AA957" s="235"/>
      <c r="AB957" s="235"/>
      <c r="AC957" s="235"/>
    </row>
    <row r="958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35"/>
      <c r="W958" s="235"/>
      <c r="X958" s="235"/>
      <c r="Y958" s="235"/>
      <c r="Z958" s="235"/>
      <c r="AA958" s="235"/>
      <c r="AB958" s="235"/>
      <c r="AC958" s="235"/>
    </row>
    <row r="959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35"/>
      <c r="W959" s="235"/>
      <c r="X959" s="235"/>
      <c r="Y959" s="235"/>
      <c r="Z959" s="235"/>
      <c r="AA959" s="235"/>
      <c r="AB959" s="235"/>
      <c r="AC959" s="235"/>
    </row>
    <row r="960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35"/>
      <c r="W960" s="235"/>
      <c r="X960" s="235"/>
      <c r="Y960" s="235"/>
      <c r="Z960" s="235"/>
      <c r="AA960" s="235"/>
      <c r="AB960" s="235"/>
      <c r="AC960" s="235"/>
    </row>
    <row r="96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35"/>
      <c r="W961" s="235"/>
      <c r="X961" s="235"/>
      <c r="Y961" s="235"/>
      <c r="Z961" s="235"/>
      <c r="AA961" s="235"/>
      <c r="AB961" s="235"/>
      <c r="AC961" s="235"/>
    </row>
    <row r="962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35"/>
      <c r="W962" s="235"/>
      <c r="X962" s="235"/>
      <c r="Y962" s="235"/>
      <c r="Z962" s="235"/>
      <c r="AA962" s="235"/>
      <c r="AB962" s="235"/>
      <c r="AC962" s="235"/>
    </row>
    <row r="963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35"/>
      <c r="W963" s="235"/>
      <c r="X963" s="235"/>
      <c r="Y963" s="235"/>
      <c r="Z963" s="235"/>
      <c r="AA963" s="235"/>
      <c r="AB963" s="235"/>
      <c r="AC963" s="235"/>
    </row>
    <row r="964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35"/>
      <c r="W964" s="235"/>
      <c r="X964" s="235"/>
      <c r="Y964" s="235"/>
      <c r="Z964" s="235"/>
      <c r="AA964" s="235"/>
      <c r="AB964" s="235"/>
      <c r="AC964" s="235"/>
    </row>
    <row r="965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35"/>
      <c r="W965" s="235"/>
      <c r="X965" s="235"/>
      <c r="Y965" s="235"/>
      <c r="Z965" s="235"/>
      <c r="AA965" s="235"/>
      <c r="AB965" s="235"/>
      <c r="AC965" s="235"/>
    </row>
    <row r="966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35"/>
      <c r="W966" s="235"/>
      <c r="X966" s="235"/>
      <c r="Y966" s="235"/>
      <c r="Z966" s="235"/>
      <c r="AA966" s="235"/>
      <c r="AB966" s="235"/>
      <c r="AC966" s="235"/>
    </row>
    <row r="967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35"/>
      <c r="W967" s="235"/>
      <c r="X967" s="235"/>
      <c r="Y967" s="235"/>
      <c r="Z967" s="235"/>
      <c r="AA967" s="235"/>
      <c r="AB967" s="235"/>
      <c r="AC967" s="235"/>
    </row>
  </sheetData>
  <mergeCells count="9">
    <mergeCell ref="M52:M62"/>
    <mergeCell ref="M68:M78"/>
    <mergeCell ref="A1:A33"/>
    <mergeCell ref="B1:M3"/>
    <mergeCell ref="T3:U3"/>
    <mergeCell ref="V8:X8"/>
    <mergeCell ref="M38:M48"/>
    <mergeCell ref="R52:R53"/>
    <mergeCell ref="S52:S53"/>
  </mergeCells>
  <dataValidations>
    <dataValidation type="list" allowBlank="1" sqref="L70:L79">
      <formula1>"Pembimbing Divisi,Koor Acara,Project Manajer,EO "</formula1>
    </dataValidation>
    <dataValidation type="list" allowBlank="1" sqref="K54:K63">
      <formula1>"Manajemen (24),Manajemen (25) ,Akuntansi (24),Akuntansi (25)"</formula1>
    </dataValidation>
    <dataValidation type="list" allowBlank="1" sqref="L54:L63">
      <formula1>"Pembimbing Divisi,Koor Humas ,LO,HR "</formula1>
    </dataValidation>
    <dataValidation type="list" allowBlank="1" sqref="K40:K49">
      <formula1>"Manajemen (24),Manajemen (25),Akuntansi (24),Akuntansi (25)"</formula1>
    </dataValidation>
    <dataValidation type="list" allowBlank="1" sqref="L5:L28">
      <formula1>"Ketua,Wakil Ketua,Bendahara ,Sekretaris ,Koor Acara,Anggota Acara,Koor Pubdoc,Anggota Pubdoc,Koor Humas,Anggota Humas,Koor BD,Anggota BD"</formula1>
    </dataValidation>
    <dataValidation type="list" allowBlank="1" sqref="L85:L94">
      <formula1>"Pembimbing Divisi,Koor BD ,Admin,Sales,Product Development"</formula1>
    </dataValidation>
    <dataValidation type="custom" allowBlank="1" showDropDown="1" sqref="F5:F28">
      <formula1>OR(NOT(ISERROR(DATEVALUE(F5))), AND(ISNUMBER(F5), LEFT(CELL("format", F5))="D"))</formula1>
    </dataValidation>
    <dataValidation type="list" allowBlank="1" sqref="K70:K79">
      <formula1>"Manajemen (24),Manajemen (25),Akuntansi(24) ,Akuntansi (25)"</formula1>
    </dataValidation>
    <dataValidation type="list" allowBlank="1" sqref="K85:K94">
      <formula1>"Manajemen (24),Manajemen (25),Akuntansi (24) ,Akuntansi (25)"</formula1>
    </dataValidation>
    <dataValidation type="custom" allowBlank="1" showDropDown="1" sqref="B5:B28 B40:B49 B54:B63 B70:B79 B85:B94">
      <formula1>AND(ISNUMBER(B5),(NOT(OR(NOT(ISERROR(DATEVALUE(B5))), AND(ISNUMBER(B5), LEFT(CELL("format", B5))="D")))))</formula1>
    </dataValidation>
    <dataValidation type="list" allowBlank="1" sqref="K5:K28">
      <formula1>"Manajemen (23),Manajemen (24),Manajemen (25),Akuntansi (24),Akuntansi (25)"</formula1>
    </dataValidation>
    <dataValidation type="list" allowBlank="1" sqref="L40:L49">
      <formula1>"Pembimbing Divisi,Koor Pubdok,Content Planer,Marketing ,Design"</formula1>
    </dataValidation>
  </dataValidations>
  <hyperlinks>
    <hyperlink r:id="rId1" ref="J9"/>
    <hyperlink r:id="rId2" ref="I12"/>
    <hyperlink r:id="rId3" ref="J12"/>
    <hyperlink r:id="rId4" ref="I13"/>
    <hyperlink r:id="rId5" ref="J13"/>
    <hyperlink r:id="rId6" ref="I14"/>
    <hyperlink r:id="rId7" ref="J14"/>
    <hyperlink r:id="rId8" ref="I15"/>
    <hyperlink r:id="rId9" ref="J15"/>
    <hyperlink r:id="rId10" ref="I16"/>
    <hyperlink r:id="rId11" ref="J16"/>
    <hyperlink r:id="rId12" ref="I17"/>
    <hyperlink r:id="rId13" ref="J17"/>
    <hyperlink r:id="rId14" ref="I18"/>
    <hyperlink r:id="rId15" ref="J18"/>
    <hyperlink r:id="rId16" ref="I19"/>
    <hyperlink r:id="rId17" ref="J19"/>
    <hyperlink r:id="rId18" ref="I20"/>
    <hyperlink r:id="rId19" ref="J20"/>
    <hyperlink r:id="rId20" ref="I21"/>
    <hyperlink r:id="rId21" ref="J21"/>
    <hyperlink r:id="rId22" ref="I22"/>
    <hyperlink r:id="rId23" ref="J22"/>
    <hyperlink r:id="rId24" ref="I23"/>
    <hyperlink r:id="rId25" ref="J23"/>
  </hyperlinks>
  <drawing r:id="rId26"/>
  <tableParts count="6">
    <tablePart r:id="rId33"/>
    <tablePart r:id="rId34"/>
    <tablePart r:id="rId35"/>
    <tablePart r:id="rId36"/>
    <tablePart r:id="rId37"/>
    <tablePart r:id="rId3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25"/>
    <col customWidth="1" min="2" max="2" width="83.13"/>
    <col customWidth="1" min="3" max="3" width="24.13"/>
    <col customWidth="1" min="4" max="4" width="41.88"/>
    <col customWidth="1" min="5" max="5" width="20.75"/>
    <col customWidth="1" min="6" max="6" width="15.13"/>
    <col customWidth="1" min="7" max="7" width="15.63"/>
    <col customWidth="1" min="8" max="8" width="51.25"/>
  </cols>
  <sheetData>
    <row r="1">
      <c r="A1" s="235"/>
      <c r="B1" s="235"/>
      <c r="C1" s="235"/>
      <c r="D1" s="235"/>
      <c r="E1" s="321" t="s">
        <v>316</v>
      </c>
      <c r="F1" s="235"/>
      <c r="G1" s="235"/>
      <c r="H1" s="235"/>
    </row>
    <row r="2">
      <c r="A2" s="235"/>
      <c r="B2" s="235"/>
      <c r="C2" s="235"/>
      <c r="D2" s="235"/>
      <c r="E2" s="235"/>
      <c r="F2" s="235"/>
      <c r="G2" s="235"/>
      <c r="H2" s="235"/>
    </row>
    <row r="3">
      <c r="A3" s="322" t="s">
        <v>63</v>
      </c>
      <c r="B3" s="322" t="s">
        <v>205</v>
      </c>
      <c r="C3" s="322" t="s">
        <v>319</v>
      </c>
      <c r="D3" s="322" t="s">
        <v>321</v>
      </c>
      <c r="E3" s="322" t="s">
        <v>322</v>
      </c>
      <c r="F3" s="322" t="s">
        <v>323</v>
      </c>
      <c r="G3" s="322" t="s">
        <v>324</v>
      </c>
      <c r="H3" s="322" t="s">
        <v>325</v>
      </c>
    </row>
    <row r="4">
      <c r="A4" s="323">
        <v>1.0</v>
      </c>
      <c r="B4" s="324" t="s">
        <v>326</v>
      </c>
      <c r="C4" s="325">
        <v>8.7782921476E10</v>
      </c>
      <c r="D4" s="324" t="s">
        <v>327</v>
      </c>
      <c r="E4" s="324" t="s">
        <v>328</v>
      </c>
      <c r="F4" s="324" t="s">
        <v>329</v>
      </c>
      <c r="G4" s="324" t="s">
        <v>330</v>
      </c>
      <c r="H4" s="324" t="s">
        <v>331</v>
      </c>
    </row>
    <row r="5">
      <c r="A5" s="326">
        <v>2.0</v>
      </c>
      <c r="B5" s="327" t="s">
        <v>333</v>
      </c>
      <c r="C5" s="328">
        <v>6.2811663161E10</v>
      </c>
      <c r="D5" s="327" t="s">
        <v>334</v>
      </c>
      <c r="E5" s="327" t="s">
        <v>328</v>
      </c>
      <c r="F5" s="327" t="s">
        <v>335</v>
      </c>
      <c r="G5" s="327"/>
      <c r="H5" s="327"/>
    </row>
    <row r="6">
      <c r="A6" s="326">
        <v>3.0</v>
      </c>
      <c r="B6" s="329" t="s">
        <v>336</v>
      </c>
      <c r="C6" s="330" t="s">
        <v>338</v>
      </c>
      <c r="D6" s="327" t="s">
        <v>339</v>
      </c>
      <c r="E6" s="327" t="s">
        <v>340</v>
      </c>
      <c r="F6" s="327" t="s">
        <v>335</v>
      </c>
      <c r="G6" s="327"/>
      <c r="H6" s="327"/>
    </row>
    <row r="7">
      <c r="A7" s="326">
        <v>4.0</v>
      </c>
      <c r="B7" s="329" t="s">
        <v>341</v>
      </c>
      <c r="C7" s="330" t="s">
        <v>342</v>
      </c>
      <c r="D7" s="327" t="s">
        <v>343</v>
      </c>
      <c r="E7" s="327" t="s">
        <v>340</v>
      </c>
      <c r="F7" s="327" t="s">
        <v>329</v>
      </c>
      <c r="G7" s="327" t="s">
        <v>344</v>
      </c>
      <c r="H7" s="327" t="s">
        <v>345</v>
      </c>
    </row>
    <row r="8">
      <c r="A8" s="326">
        <v>5.0</v>
      </c>
      <c r="B8" s="327" t="s">
        <v>346</v>
      </c>
      <c r="C8" s="332"/>
      <c r="D8" s="327" t="s">
        <v>347</v>
      </c>
      <c r="E8" s="327" t="s">
        <v>340</v>
      </c>
      <c r="F8" s="327" t="s">
        <v>335</v>
      </c>
      <c r="G8" s="327" t="s">
        <v>330</v>
      </c>
      <c r="H8" s="327" t="s">
        <v>348</v>
      </c>
    </row>
    <row r="9">
      <c r="A9" s="326">
        <v>6.0</v>
      </c>
      <c r="B9" s="327" t="s">
        <v>350</v>
      </c>
      <c r="C9" s="332"/>
      <c r="D9" s="327" t="s">
        <v>351</v>
      </c>
      <c r="E9" s="327" t="str">
        <f>E8</f>
        <v>12 Mei 2022</v>
      </c>
      <c r="F9" s="327" t="s">
        <v>335</v>
      </c>
      <c r="G9" s="327"/>
      <c r="H9" s="327"/>
    </row>
    <row r="10">
      <c r="A10" s="334">
        <v>7.0</v>
      </c>
      <c r="B10" s="335" t="s">
        <v>353</v>
      </c>
      <c r="C10" s="325">
        <v>8.551434713E9</v>
      </c>
      <c r="D10" s="324" t="s">
        <v>355</v>
      </c>
      <c r="E10" s="324" t="str">
        <f>E11</f>
        <v>13 Mei 2022</v>
      </c>
      <c r="F10" s="324" t="s">
        <v>329</v>
      </c>
      <c r="G10" s="324" t="s">
        <v>344</v>
      </c>
      <c r="H10" s="324" t="s">
        <v>331</v>
      </c>
    </row>
    <row r="11">
      <c r="A11" s="326">
        <v>8.0</v>
      </c>
      <c r="B11" s="327" t="s">
        <v>357</v>
      </c>
      <c r="C11" s="328" t="s">
        <v>358</v>
      </c>
      <c r="D11" s="327" t="s">
        <v>359</v>
      </c>
      <c r="E11" s="327" t="s">
        <v>360</v>
      </c>
      <c r="F11" s="327" t="s">
        <v>335</v>
      </c>
      <c r="G11" s="327" t="s">
        <v>361</v>
      </c>
      <c r="H11" s="327"/>
    </row>
    <row r="12">
      <c r="A12" s="336">
        <v>9.0</v>
      </c>
      <c r="B12" s="337" t="s">
        <v>362</v>
      </c>
      <c r="C12" s="338"/>
      <c r="D12" s="339" t="s">
        <v>363</v>
      </c>
      <c r="E12" s="339" t="s">
        <v>364</v>
      </c>
      <c r="F12" s="339" t="s">
        <v>365</v>
      </c>
      <c r="G12" s="339"/>
      <c r="H12" s="339"/>
    </row>
    <row r="13">
      <c r="A13" s="334">
        <v>10.0</v>
      </c>
      <c r="B13" s="324" t="s">
        <v>366</v>
      </c>
      <c r="C13" s="325">
        <v>8.1213337533E10</v>
      </c>
      <c r="D13" s="324" t="s">
        <v>367</v>
      </c>
      <c r="E13" s="340" t="s">
        <v>364</v>
      </c>
      <c r="F13" s="324" t="s">
        <v>329</v>
      </c>
      <c r="G13" s="324" t="s">
        <v>344</v>
      </c>
      <c r="H13" s="324" t="s">
        <v>331</v>
      </c>
    </row>
    <row r="14">
      <c r="A14" s="326">
        <v>11.0</v>
      </c>
      <c r="B14" s="327" t="s">
        <v>368</v>
      </c>
      <c r="C14" s="332"/>
      <c r="D14" s="327"/>
      <c r="E14" s="327"/>
      <c r="F14" s="327" t="s">
        <v>329</v>
      </c>
      <c r="G14" s="327"/>
      <c r="H14" s="327" t="s">
        <v>331</v>
      </c>
    </row>
    <row r="15">
      <c r="A15" s="326">
        <v>12.0</v>
      </c>
      <c r="B15" s="327" t="s">
        <v>369</v>
      </c>
      <c r="C15" s="332"/>
      <c r="D15" s="327"/>
      <c r="E15" s="327"/>
      <c r="F15" s="327" t="s">
        <v>329</v>
      </c>
      <c r="G15" s="327"/>
      <c r="H15" s="327" t="s">
        <v>331</v>
      </c>
    </row>
    <row r="16">
      <c r="A16" s="326">
        <v>13.0</v>
      </c>
      <c r="B16" s="327" t="s">
        <v>370</v>
      </c>
      <c r="C16" s="332"/>
      <c r="D16" s="327"/>
      <c r="E16" s="327"/>
      <c r="F16" s="327" t="s">
        <v>329</v>
      </c>
      <c r="G16" s="327"/>
      <c r="H16" s="327" t="s">
        <v>331</v>
      </c>
    </row>
    <row r="17">
      <c r="A17" s="326">
        <v>14.0</v>
      </c>
      <c r="B17" s="327" t="s">
        <v>371</v>
      </c>
      <c r="C17" s="328">
        <v>8.9988820646E10</v>
      </c>
      <c r="D17" s="327" t="s">
        <v>372</v>
      </c>
      <c r="E17" s="327" t="s">
        <v>373</v>
      </c>
      <c r="F17" s="327" t="s">
        <v>335</v>
      </c>
      <c r="G17" s="327"/>
      <c r="H17" s="327"/>
    </row>
    <row r="18">
      <c r="A18" s="334">
        <v>15.0</v>
      </c>
      <c r="B18" s="324" t="s">
        <v>374</v>
      </c>
      <c r="C18" s="325" t="s">
        <v>375</v>
      </c>
      <c r="D18" s="324" t="s">
        <v>376</v>
      </c>
      <c r="E18" s="324" t="s">
        <v>373</v>
      </c>
      <c r="F18" s="324" t="s">
        <v>335</v>
      </c>
      <c r="G18" s="324"/>
      <c r="H18" s="324"/>
    </row>
    <row r="19">
      <c r="A19" s="326">
        <v>16.0</v>
      </c>
      <c r="B19" s="327" t="s">
        <v>377</v>
      </c>
      <c r="C19" s="328">
        <v>8.21322946E10</v>
      </c>
      <c r="D19" s="327" t="s">
        <v>378</v>
      </c>
      <c r="E19" s="327" t="s">
        <v>373</v>
      </c>
      <c r="F19" s="327" t="s">
        <v>335</v>
      </c>
      <c r="G19" s="327"/>
      <c r="H19" s="327"/>
    </row>
    <row r="20">
      <c r="A20" s="326">
        <v>17.0</v>
      </c>
      <c r="B20" s="327" t="s">
        <v>379</v>
      </c>
      <c r="C20" s="328">
        <v>8.3840525468E10</v>
      </c>
      <c r="D20" s="327"/>
      <c r="E20" s="327" t="s">
        <v>373</v>
      </c>
      <c r="F20" s="327" t="s">
        <v>335</v>
      </c>
      <c r="G20" s="327"/>
      <c r="H20" s="327"/>
    </row>
    <row r="21">
      <c r="A21" s="326">
        <v>18.0</v>
      </c>
      <c r="B21" s="329" t="s">
        <v>380</v>
      </c>
      <c r="C21" s="332"/>
      <c r="D21" s="327" t="s">
        <v>381</v>
      </c>
      <c r="E21" s="327" t="s">
        <v>344</v>
      </c>
      <c r="F21" s="327" t="str">
        <f>F20</f>
        <v>Belum ada respon</v>
      </c>
      <c r="G21" s="327"/>
      <c r="H21" s="327"/>
    </row>
    <row r="22">
      <c r="A22" s="327"/>
      <c r="B22" s="327"/>
      <c r="C22" s="332"/>
      <c r="D22" s="327"/>
      <c r="E22" s="327"/>
      <c r="F22" s="327"/>
      <c r="G22" s="327"/>
      <c r="H22" s="327"/>
    </row>
    <row r="23">
      <c r="A23" s="327"/>
      <c r="B23" s="327"/>
      <c r="C23" s="332"/>
      <c r="D23" s="327"/>
      <c r="E23" s="327"/>
      <c r="F23" s="327"/>
      <c r="G23" s="327"/>
      <c r="H23" s="327"/>
    </row>
    <row r="24">
      <c r="A24" s="327"/>
      <c r="B24" s="327"/>
      <c r="C24" s="332"/>
      <c r="D24" s="327"/>
      <c r="E24" s="327"/>
      <c r="F24" s="327"/>
      <c r="G24" s="327"/>
      <c r="H24" s="327"/>
    </row>
    <row r="25">
      <c r="A25" s="327"/>
      <c r="B25" s="327"/>
      <c r="C25" s="332"/>
      <c r="D25" s="327"/>
      <c r="E25" s="327"/>
      <c r="F25" s="327"/>
      <c r="G25" s="327"/>
      <c r="H25" s="327"/>
    </row>
    <row r="26">
      <c r="A26" s="235"/>
      <c r="B26" s="235"/>
      <c r="C26" s="235"/>
      <c r="D26" s="235"/>
      <c r="E26" s="235"/>
      <c r="F26" s="235"/>
      <c r="G26" s="235"/>
      <c r="H26" s="235"/>
    </row>
    <row r="27">
      <c r="A27" s="235"/>
      <c r="B27" s="235" t="s">
        <v>384</v>
      </c>
      <c r="C27" s="235"/>
      <c r="D27" s="235"/>
      <c r="E27" s="235"/>
      <c r="F27" s="235"/>
      <c r="G27" s="235"/>
      <c r="H27" s="235"/>
    </row>
    <row r="28">
      <c r="A28" s="235"/>
      <c r="B28" s="341" t="s">
        <v>386</v>
      </c>
      <c r="C28" s="235"/>
      <c r="D28" s="235"/>
      <c r="E28" s="235"/>
      <c r="F28" s="235"/>
      <c r="G28" s="235"/>
      <c r="H28" s="235"/>
    </row>
  </sheetData>
  <hyperlinks>
    <hyperlink r:id="rId1" ref="B6"/>
    <hyperlink r:id="rId2" ref="B7"/>
    <hyperlink r:id="rId3" ref="B10"/>
    <hyperlink r:id="rId4" ref="B21"/>
    <hyperlink r:id="rId5" ref="B28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7.63"/>
    <col customWidth="1" min="3" max="3" width="60.25"/>
    <col customWidth="1" min="4" max="4" width="85.88"/>
    <col customWidth="1" min="6" max="6" width="82.0"/>
    <col customWidth="1" min="7" max="7" width="15.63"/>
    <col customWidth="1" min="8" max="8" width="27.88"/>
  </cols>
  <sheetData>
    <row r="1">
      <c r="A1" s="235"/>
      <c r="B1" s="235"/>
      <c r="C1" s="342"/>
      <c r="D1" s="321" t="s">
        <v>396</v>
      </c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</row>
    <row r="2">
      <c r="A2" s="235"/>
      <c r="B2" s="235"/>
      <c r="C2" s="342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</row>
    <row r="3">
      <c r="A3" s="343" t="s">
        <v>63</v>
      </c>
      <c r="B3" s="343" t="s">
        <v>205</v>
      </c>
      <c r="C3" s="344" t="s">
        <v>319</v>
      </c>
      <c r="D3" s="343" t="s">
        <v>321</v>
      </c>
      <c r="E3" s="343" t="s">
        <v>322</v>
      </c>
      <c r="F3" s="343" t="s">
        <v>323</v>
      </c>
      <c r="G3" s="343" t="s">
        <v>324</v>
      </c>
      <c r="H3" s="343" t="s">
        <v>325</v>
      </c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</row>
    <row r="4">
      <c r="A4" s="345">
        <v>1.0</v>
      </c>
      <c r="B4" s="329" t="s">
        <v>397</v>
      </c>
      <c r="C4" s="342" t="s">
        <v>398</v>
      </c>
      <c r="D4" s="327" t="s">
        <v>399</v>
      </c>
      <c r="E4" s="327" t="s">
        <v>340</v>
      </c>
      <c r="F4" s="327" t="s">
        <v>335</v>
      </c>
      <c r="G4" s="327" t="s">
        <v>400</v>
      </c>
      <c r="H4" s="327" t="s">
        <v>401</v>
      </c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</row>
    <row r="5">
      <c r="A5" s="326">
        <v>2.0</v>
      </c>
      <c r="B5" s="329" t="s">
        <v>402</v>
      </c>
      <c r="C5" s="332"/>
      <c r="D5" s="327" t="s">
        <v>403</v>
      </c>
      <c r="E5" s="327" t="str">
        <f>E6</f>
        <v>16 Mei 2022</v>
      </c>
      <c r="F5" s="327" t="s">
        <v>335</v>
      </c>
      <c r="G5" s="327" t="s">
        <v>404</v>
      </c>
      <c r="H5" s="327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>
      <c r="A6" s="346">
        <v>3.0</v>
      </c>
      <c r="B6" s="347" t="s">
        <v>407</v>
      </c>
      <c r="C6" s="348"/>
      <c r="D6" s="347" t="s">
        <v>408</v>
      </c>
      <c r="E6" s="347" t="s">
        <v>364</v>
      </c>
      <c r="F6" s="347"/>
      <c r="G6" s="347"/>
      <c r="H6" s="347" t="s">
        <v>409</v>
      </c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>
      <c r="A7" s="326">
        <v>4.0</v>
      </c>
      <c r="B7" s="327" t="s">
        <v>411</v>
      </c>
      <c r="C7" s="332"/>
      <c r="D7" s="327" t="s">
        <v>412</v>
      </c>
      <c r="E7" s="327" t="s">
        <v>413</v>
      </c>
      <c r="F7" s="327" t="str">
        <f>F5</f>
        <v>Belum ada respon</v>
      </c>
      <c r="G7" s="327" t="s">
        <v>404</v>
      </c>
      <c r="H7" s="327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8">
      <c r="A8" s="326">
        <v>5.0</v>
      </c>
      <c r="B8" s="327" t="s">
        <v>414</v>
      </c>
      <c r="C8" s="328">
        <v>8.2111118624E10</v>
      </c>
      <c r="D8" s="327" t="s">
        <v>415</v>
      </c>
      <c r="E8" s="327" t="s">
        <v>330</v>
      </c>
      <c r="F8" s="327"/>
      <c r="G8" s="327" t="s">
        <v>400</v>
      </c>
      <c r="H8" s="327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</row>
    <row r="9">
      <c r="A9" s="326">
        <v>6.0</v>
      </c>
      <c r="B9" s="327" t="s">
        <v>417</v>
      </c>
      <c r="C9" s="328" t="s">
        <v>418</v>
      </c>
      <c r="D9" s="327" t="s">
        <v>419</v>
      </c>
      <c r="E9" s="327" t="s">
        <v>330</v>
      </c>
      <c r="F9" s="327" t="s">
        <v>335</v>
      </c>
      <c r="G9" s="327" t="s">
        <v>404</v>
      </c>
      <c r="H9" s="327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</row>
    <row r="10">
      <c r="A10" s="326">
        <v>7.0</v>
      </c>
      <c r="B10" s="327" t="s">
        <v>420</v>
      </c>
      <c r="C10" s="328">
        <v>8.111008988E9</v>
      </c>
      <c r="D10" s="327" t="s">
        <v>421</v>
      </c>
      <c r="E10" s="327" t="s">
        <v>422</v>
      </c>
      <c r="F10" s="327" t="s">
        <v>423</v>
      </c>
      <c r="G10" s="327" t="s">
        <v>404</v>
      </c>
      <c r="H10" s="327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</row>
    <row r="11">
      <c r="A11" s="326">
        <v>8.0</v>
      </c>
      <c r="B11" s="327" t="s">
        <v>424</v>
      </c>
      <c r="C11" s="328" t="s">
        <v>425</v>
      </c>
      <c r="D11" s="327" t="s">
        <v>426</v>
      </c>
      <c r="E11" s="327" t="s">
        <v>422</v>
      </c>
      <c r="F11" s="327" t="s">
        <v>335</v>
      </c>
      <c r="G11" s="327" t="s">
        <v>404</v>
      </c>
      <c r="H11" s="327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</row>
    <row r="12">
      <c r="A12" s="326">
        <v>9.0</v>
      </c>
      <c r="B12" s="327" t="s">
        <v>427</v>
      </c>
      <c r="C12" s="332"/>
      <c r="D12" s="327" t="s">
        <v>428</v>
      </c>
      <c r="E12" s="327" t="s">
        <v>422</v>
      </c>
      <c r="F12" s="327" t="s">
        <v>429</v>
      </c>
      <c r="G12" s="327"/>
      <c r="H12" s="327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</row>
    <row r="13">
      <c r="A13" s="326">
        <v>10.0</v>
      </c>
      <c r="B13" s="327" t="s">
        <v>430</v>
      </c>
      <c r="C13" s="332"/>
      <c r="D13" s="327" t="s">
        <v>431</v>
      </c>
      <c r="E13" s="327" t="s">
        <v>422</v>
      </c>
      <c r="F13" s="327" t="s">
        <v>432</v>
      </c>
      <c r="G13" s="327" t="s">
        <v>404</v>
      </c>
      <c r="H13" s="327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</row>
    <row r="14">
      <c r="A14" s="346">
        <v>11.0</v>
      </c>
      <c r="B14" s="347" t="s">
        <v>433</v>
      </c>
      <c r="C14" s="348"/>
      <c r="D14" s="347" t="s">
        <v>434</v>
      </c>
      <c r="E14" s="347" t="s">
        <v>330</v>
      </c>
      <c r="F14" s="347" t="s">
        <v>435</v>
      </c>
      <c r="G14" s="347"/>
      <c r="H14" s="347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</row>
    <row r="15">
      <c r="A15" s="346">
        <v>12.0</v>
      </c>
      <c r="B15" s="347" t="s">
        <v>436</v>
      </c>
      <c r="C15" s="348"/>
      <c r="D15" s="347" t="s">
        <v>437</v>
      </c>
      <c r="E15" s="347" t="s">
        <v>330</v>
      </c>
      <c r="F15" s="347"/>
      <c r="G15" s="347" t="s">
        <v>404</v>
      </c>
      <c r="H15" s="347" t="s">
        <v>438</v>
      </c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</row>
    <row r="16">
      <c r="A16" s="326">
        <v>13.0</v>
      </c>
      <c r="B16" s="327" t="s">
        <v>439</v>
      </c>
      <c r="C16" s="332"/>
      <c r="D16" s="327" t="s">
        <v>440</v>
      </c>
      <c r="E16" s="327" t="s">
        <v>330</v>
      </c>
      <c r="F16" s="327" t="s">
        <v>335</v>
      </c>
      <c r="G16" s="327" t="s">
        <v>404</v>
      </c>
      <c r="H16" s="327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</row>
    <row r="17">
      <c r="A17" s="326">
        <v>14.0</v>
      </c>
      <c r="B17" s="327" t="s">
        <v>441</v>
      </c>
      <c r="C17" s="332"/>
      <c r="D17" s="327" t="s">
        <v>442</v>
      </c>
      <c r="E17" s="327" t="s">
        <v>330</v>
      </c>
      <c r="F17" s="327" t="s">
        <v>443</v>
      </c>
      <c r="G17" s="327"/>
      <c r="H17" s="327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</row>
    <row r="18">
      <c r="A18" s="326">
        <v>15.0</v>
      </c>
      <c r="B18" s="327" t="s">
        <v>444</v>
      </c>
      <c r="C18" s="332"/>
      <c r="D18" s="329" t="s">
        <v>445</v>
      </c>
      <c r="E18" s="327" t="s">
        <v>344</v>
      </c>
      <c r="F18" s="327" t="s">
        <v>335</v>
      </c>
      <c r="G18" s="327"/>
      <c r="H18" s="327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</row>
    <row r="19">
      <c r="A19" s="326">
        <v>16.0</v>
      </c>
      <c r="B19" s="327" t="s">
        <v>446</v>
      </c>
      <c r="C19" s="328" t="s">
        <v>447</v>
      </c>
      <c r="D19" s="327" t="s">
        <v>448</v>
      </c>
      <c r="E19" s="327" t="s">
        <v>344</v>
      </c>
      <c r="F19" s="327" t="s">
        <v>335</v>
      </c>
      <c r="G19" s="327" t="s">
        <v>449</v>
      </c>
      <c r="H19" s="327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</row>
    <row r="20">
      <c r="A20" s="326">
        <v>17.0</v>
      </c>
      <c r="B20" s="327" t="s">
        <v>450</v>
      </c>
      <c r="C20" s="332"/>
      <c r="D20" s="327" t="s">
        <v>451</v>
      </c>
      <c r="E20" s="327" t="s">
        <v>452</v>
      </c>
      <c r="F20" s="327" t="s">
        <v>335</v>
      </c>
      <c r="G20" s="327" t="s">
        <v>449</v>
      </c>
      <c r="H20" s="327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</row>
    <row r="21">
      <c r="A21" s="326">
        <v>18.0</v>
      </c>
      <c r="B21" s="327" t="s">
        <v>453</v>
      </c>
      <c r="C21" s="332"/>
      <c r="D21" s="327" t="s">
        <v>454</v>
      </c>
      <c r="E21" s="327" t="s">
        <v>452</v>
      </c>
      <c r="F21" s="327" t="s">
        <v>443</v>
      </c>
      <c r="G21" s="327"/>
      <c r="H21" s="327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</row>
    <row r="22">
      <c r="A22" s="326">
        <v>19.0</v>
      </c>
      <c r="B22" s="327" t="s">
        <v>455</v>
      </c>
      <c r="C22" s="332"/>
      <c r="D22" s="327" t="s">
        <v>456</v>
      </c>
      <c r="E22" s="327" t="s">
        <v>452</v>
      </c>
      <c r="F22" s="327" t="s">
        <v>335</v>
      </c>
      <c r="G22" s="327" t="s">
        <v>449</v>
      </c>
      <c r="H22" s="327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</row>
    <row r="23">
      <c r="A23" s="346">
        <v>20.0</v>
      </c>
      <c r="B23" s="347" t="s">
        <v>457</v>
      </c>
      <c r="C23" s="348"/>
      <c r="D23" s="347" t="s">
        <v>458</v>
      </c>
      <c r="E23" s="347" t="s">
        <v>404</v>
      </c>
      <c r="F23" s="347" t="s">
        <v>459</v>
      </c>
      <c r="G23" s="347"/>
      <c r="H23" s="347" t="s">
        <v>460</v>
      </c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</row>
    <row r="24">
      <c r="A24" s="354">
        <v>21.0</v>
      </c>
      <c r="B24" s="355" t="s">
        <v>461</v>
      </c>
      <c r="C24" s="356"/>
      <c r="D24" s="355" t="s">
        <v>462</v>
      </c>
      <c r="E24" s="355" t="s">
        <v>404</v>
      </c>
      <c r="F24" s="355" t="s">
        <v>335</v>
      </c>
      <c r="G24" s="355" t="s">
        <v>449</v>
      </c>
      <c r="H24" s="35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</row>
    <row r="25">
      <c r="A25" s="357">
        <v>22.0</v>
      </c>
      <c r="B25" s="358" t="s">
        <v>463</v>
      </c>
      <c r="C25" s="359" t="s">
        <v>464</v>
      </c>
      <c r="D25" s="358" t="s">
        <v>465</v>
      </c>
      <c r="E25" s="358" t="s">
        <v>466</v>
      </c>
      <c r="F25" s="358"/>
      <c r="G25" s="358"/>
      <c r="H25" s="358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</row>
    <row r="26">
      <c r="A26" s="357">
        <v>23.0</v>
      </c>
      <c r="B26" s="358" t="s">
        <v>467</v>
      </c>
      <c r="C26" s="359" t="s">
        <v>468</v>
      </c>
      <c r="D26" s="358" t="s">
        <v>469</v>
      </c>
      <c r="E26" s="358" t="s">
        <v>470</v>
      </c>
      <c r="F26" s="360" t="s">
        <v>471</v>
      </c>
      <c r="G26" s="358"/>
      <c r="H26" s="358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</row>
    <row r="27">
      <c r="A27" s="357">
        <v>24.0</v>
      </c>
      <c r="B27" s="358" t="s">
        <v>472</v>
      </c>
      <c r="C27" s="359"/>
      <c r="D27" s="358" t="s">
        <v>473</v>
      </c>
      <c r="E27" s="358" t="s">
        <v>449</v>
      </c>
      <c r="F27" s="358"/>
      <c r="G27" s="358"/>
      <c r="H27" s="358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</row>
    <row r="28">
      <c r="A28" s="357">
        <v>25.0</v>
      </c>
      <c r="B28" s="358" t="s">
        <v>474</v>
      </c>
      <c r="C28" s="359" t="s">
        <v>475</v>
      </c>
      <c r="D28" s="358" t="s">
        <v>476</v>
      </c>
      <c r="E28" s="358" t="s">
        <v>449</v>
      </c>
      <c r="F28" s="358"/>
      <c r="G28" s="358"/>
      <c r="H28" s="358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</row>
    <row r="29">
      <c r="A29" s="346">
        <v>26.0</v>
      </c>
      <c r="B29" s="347" t="s">
        <v>477</v>
      </c>
      <c r="C29" s="348"/>
      <c r="D29" s="347" t="s">
        <v>478</v>
      </c>
      <c r="E29" s="347" t="s">
        <v>449</v>
      </c>
      <c r="F29" s="347" t="s">
        <v>479</v>
      </c>
      <c r="G29" s="347"/>
      <c r="H29" s="347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</row>
    <row r="30">
      <c r="A30" s="326">
        <v>27.0</v>
      </c>
      <c r="B30" s="327" t="s">
        <v>480</v>
      </c>
      <c r="C30" s="362" t="s">
        <v>481</v>
      </c>
      <c r="D30" s="327" t="s">
        <v>482</v>
      </c>
      <c r="E30" s="327" t="s">
        <v>449</v>
      </c>
      <c r="F30" s="327"/>
      <c r="G30" s="327"/>
      <c r="H30" s="327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</row>
    <row r="31">
      <c r="A31" s="357">
        <v>28.0</v>
      </c>
      <c r="B31" s="358" t="s">
        <v>483</v>
      </c>
      <c r="C31" s="359"/>
      <c r="D31" s="358" t="s">
        <v>484</v>
      </c>
      <c r="E31" s="358" t="s">
        <v>470</v>
      </c>
      <c r="F31" s="358" t="s">
        <v>485</v>
      </c>
      <c r="G31" s="358"/>
      <c r="H31" s="358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</row>
    <row r="32">
      <c r="A32" s="357">
        <v>29.0</v>
      </c>
      <c r="B32" s="358" t="s">
        <v>486</v>
      </c>
      <c r="C32" s="363" t="s">
        <v>487</v>
      </c>
      <c r="D32" s="358" t="s">
        <v>488</v>
      </c>
      <c r="E32" s="358"/>
      <c r="F32" s="358"/>
      <c r="G32" s="358"/>
      <c r="H32" s="358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</row>
    <row r="33">
      <c r="A33" s="357">
        <v>30.0</v>
      </c>
      <c r="B33" s="358" t="s">
        <v>489</v>
      </c>
      <c r="C33" s="359"/>
      <c r="D33" s="358" t="s">
        <v>490</v>
      </c>
      <c r="E33" s="358"/>
      <c r="F33" s="358"/>
      <c r="G33" s="358"/>
      <c r="H33" s="358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</row>
    <row r="34">
      <c r="A34" s="357">
        <v>31.0</v>
      </c>
      <c r="B34" s="358" t="s">
        <v>491</v>
      </c>
      <c r="C34" s="364" t="s">
        <v>492</v>
      </c>
      <c r="D34" s="358" t="s">
        <v>493</v>
      </c>
      <c r="E34" s="358"/>
      <c r="F34" s="358"/>
      <c r="G34" s="358"/>
      <c r="H34" s="358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</row>
    <row r="35">
      <c r="A35" s="357">
        <v>32.0</v>
      </c>
      <c r="B35" s="358" t="s">
        <v>494</v>
      </c>
      <c r="C35" s="364" t="s">
        <v>495</v>
      </c>
      <c r="D35" s="358" t="s">
        <v>496</v>
      </c>
      <c r="E35" s="358"/>
      <c r="F35" s="358"/>
      <c r="G35" s="358"/>
      <c r="H35" s="358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</row>
    <row r="36">
      <c r="A36" s="357">
        <v>33.0</v>
      </c>
      <c r="B36" s="358" t="s">
        <v>497</v>
      </c>
      <c r="C36" s="363" t="s">
        <v>498</v>
      </c>
      <c r="D36" s="358" t="s">
        <v>499</v>
      </c>
      <c r="E36" s="358" t="s">
        <v>470</v>
      </c>
      <c r="F36" s="358" t="s">
        <v>500</v>
      </c>
      <c r="G36" s="358"/>
      <c r="H36" s="358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</row>
    <row r="37">
      <c r="A37" s="365">
        <v>34.0</v>
      </c>
      <c r="B37" s="366" t="s">
        <v>501</v>
      </c>
      <c r="C37" s="368" t="s">
        <v>502</v>
      </c>
      <c r="D37" s="366" t="s">
        <v>503</v>
      </c>
      <c r="E37" s="366" t="s">
        <v>470</v>
      </c>
      <c r="F37" s="366" t="s">
        <v>504</v>
      </c>
      <c r="G37" s="366"/>
      <c r="H37" s="366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</row>
    <row r="38">
      <c r="A38" s="357">
        <v>35.0</v>
      </c>
      <c r="B38" s="358" t="s">
        <v>505</v>
      </c>
      <c r="C38" s="364" t="s">
        <v>507</v>
      </c>
      <c r="D38" s="360" t="s">
        <v>508</v>
      </c>
      <c r="E38" s="358"/>
      <c r="F38" s="358"/>
      <c r="G38" s="358"/>
      <c r="H38" s="358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</row>
    <row r="39">
      <c r="A39" s="357">
        <v>36.0</v>
      </c>
      <c r="B39" s="358" t="s">
        <v>509</v>
      </c>
      <c r="C39" s="374">
        <v>6.2217244493E10</v>
      </c>
      <c r="D39" s="360" t="s">
        <v>510</v>
      </c>
      <c r="E39" s="358"/>
      <c r="F39" s="358"/>
      <c r="G39" s="358"/>
      <c r="H39" s="358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</row>
    <row r="40">
      <c r="A40" s="357">
        <v>37.0</v>
      </c>
      <c r="B40" s="358" t="s">
        <v>511</v>
      </c>
      <c r="C40" s="364" t="s">
        <v>512</v>
      </c>
      <c r="D40" s="358" t="s">
        <v>513</v>
      </c>
      <c r="E40" s="358" t="s">
        <v>514</v>
      </c>
      <c r="F40" s="358" t="s">
        <v>515</v>
      </c>
      <c r="G40" s="358"/>
      <c r="H40" s="358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</row>
    <row r="41">
      <c r="A41" s="357">
        <v>38.0</v>
      </c>
      <c r="B41" s="358" t="s">
        <v>516</v>
      </c>
      <c r="C41" s="363" t="s">
        <v>517</v>
      </c>
      <c r="D41" s="360" t="s">
        <v>518</v>
      </c>
      <c r="E41" s="358"/>
      <c r="F41" s="358"/>
      <c r="G41" s="358"/>
      <c r="H41" s="358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</row>
    <row r="42">
      <c r="A42" s="378">
        <v>39.0</v>
      </c>
      <c r="B42" s="380" t="s">
        <v>519</v>
      </c>
      <c r="C42" s="381" t="s">
        <v>520</v>
      </c>
      <c r="D42" s="380" t="s">
        <v>521</v>
      </c>
      <c r="E42" s="380" t="s">
        <v>470</v>
      </c>
      <c r="F42" s="380" t="s">
        <v>522</v>
      </c>
      <c r="G42" s="380"/>
      <c r="H42" s="380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</row>
    <row r="43">
      <c r="A43" s="326">
        <v>40.0</v>
      </c>
      <c r="B43" s="327" t="s">
        <v>523</v>
      </c>
      <c r="C43" s="383">
        <v>8.9644000123E10</v>
      </c>
      <c r="D43" s="327" t="s">
        <v>524</v>
      </c>
      <c r="E43" s="358" t="s">
        <v>470</v>
      </c>
      <c r="F43" s="358" t="s">
        <v>525</v>
      </c>
      <c r="G43" s="358"/>
      <c r="H43" s="358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</row>
    <row r="44">
      <c r="A44" s="357">
        <v>41.0</v>
      </c>
      <c r="B44" s="358" t="s">
        <v>526</v>
      </c>
      <c r="C44" s="359"/>
      <c r="D44" s="358"/>
      <c r="E44" s="358"/>
      <c r="F44" s="358"/>
      <c r="G44" s="358"/>
      <c r="H44" s="358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</row>
    <row r="45">
      <c r="A45" s="357">
        <v>42.0</v>
      </c>
      <c r="B45" s="358" t="s">
        <v>527</v>
      </c>
      <c r="C45" s="359"/>
      <c r="D45" s="387" t="s">
        <v>528</v>
      </c>
      <c r="E45" s="358"/>
      <c r="F45" s="358"/>
      <c r="G45" s="358"/>
      <c r="H45" s="358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</row>
    <row r="46">
      <c r="A46" s="357">
        <v>43.0</v>
      </c>
      <c r="B46" s="358" t="s">
        <v>529</v>
      </c>
      <c r="C46" s="359" t="s">
        <v>530</v>
      </c>
      <c r="D46" s="358"/>
      <c r="E46" s="358"/>
      <c r="F46" s="358" t="s">
        <v>531</v>
      </c>
      <c r="G46" s="358"/>
      <c r="H46" s="358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</row>
    <row r="47">
      <c r="A47" s="357">
        <v>44.0</v>
      </c>
      <c r="B47" s="358" t="s">
        <v>532</v>
      </c>
      <c r="C47" s="374">
        <v>8.001225588E9</v>
      </c>
      <c r="D47" s="358" t="s">
        <v>533</v>
      </c>
      <c r="E47" s="358"/>
      <c r="F47" s="358" t="s">
        <v>534</v>
      </c>
      <c r="G47" s="358"/>
      <c r="H47" s="358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</row>
    <row r="48">
      <c r="A48" s="389">
        <v>45.0</v>
      </c>
      <c r="B48" s="390" t="s">
        <v>535</v>
      </c>
      <c r="C48" s="391" t="s">
        <v>536</v>
      </c>
      <c r="D48" s="390" t="s">
        <v>537</v>
      </c>
      <c r="E48" s="390"/>
      <c r="F48" s="390" t="s">
        <v>538</v>
      </c>
      <c r="G48" s="390"/>
      <c r="H48" s="390" t="s">
        <v>539</v>
      </c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</row>
    <row r="49">
      <c r="A49" s="357">
        <v>46.0</v>
      </c>
      <c r="B49" s="358" t="s">
        <v>540</v>
      </c>
      <c r="C49" s="392" t="s">
        <v>541</v>
      </c>
      <c r="D49" s="358" t="s">
        <v>542</v>
      </c>
      <c r="E49" s="358"/>
      <c r="F49" s="358"/>
      <c r="G49" s="358"/>
      <c r="H49" s="358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</row>
    <row r="50">
      <c r="A50" s="357">
        <v>47.0</v>
      </c>
      <c r="B50" s="358" t="s">
        <v>543</v>
      </c>
      <c r="C50" s="359"/>
      <c r="D50" s="358" t="s">
        <v>544</v>
      </c>
      <c r="E50" s="358"/>
      <c r="F50" s="358"/>
      <c r="G50" s="358"/>
      <c r="H50" s="358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</row>
    <row r="51">
      <c r="A51" s="357">
        <v>48.0</v>
      </c>
      <c r="B51" s="358" t="s">
        <v>545</v>
      </c>
      <c r="C51" s="359" t="s">
        <v>546</v>
      </c>
      <c r="D51" s="358" t="s">
        <v>547</v>
      </c>
      <c r="E51" s="358"/>
      <c r="F51" s="358"/>
      <c r="G51" s="358"/>
      <c r="H51" s="358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</row>
    <row r="52">
      <c r="A52" s="357">
        <v>49.0</v>
      </c>
      <c r="B52" s="358" t="s">
        <v>548</v>
      </c>
      <c r="C52" s="359"/>
      <c r="D52" s="358" t="s">
        <v>549</v>
      </c>
      <c r="E52" s="358"/>
      <c r="F52" s="358"/>
      <c r="G52" s="358"/>
      <c r="H52" s="358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</row>
    <row r="53">
      <c r="A53" s="357">
        <v>50.0</v>
      </c>
      <c r="B53" s="358" t="s">
        <v>550</v>
      </c>
      <c r="C53" s="359"/>
      <c r="D53" s="358" t="s">
        <v>551</v>
      </c>
      <c r="E53" s="358"/>
      <c r="F53" s="358"/>
      <c r="G53" s="358"/>
      <c r="H53" s="358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</row>
    <row r="54">
      <c r="A54" s="357">
        <v>51.0</v>
      </c>
      <c r="B54" s="358" t="s">
        <v>553</v>
      </c>
      <c r="C54" s="359" t="s">
        <v>554</v>
      </c>
      <c r="D54" s="358" t="s">
        <v>555</v>
      </c>
      <c r="E54" s="358" t="s">
        <v>514</v>
      </c>
      <c r="F54" s="358"/>
      <c r="G54" s="358"/>
      <c r="H54" s="358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</row>
    <row r="55">
      <c r="A55" s="357">
        <v>52.0</v>
      </c>
      <c r="B55" s="358" t="s">
        <v>558</v>
      </c>
      <c r="C55" s="393" t="s">
        <v>559</v>
      </c>
      <c r="D55" s="358" t="s">
        <v>561</v>
      </c>
      <c r="E55" s="358" t="s">
        <v>514</v>
      </c>
      <c r="F55" s="358"/>
      <c r="G55" s="358"/>
      <c r="H55" s="358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</row>
    <row r="56">
      <c r="A56" s="357">
        <v>53.0</v>
      </c>
      <c r="B56" s="358" t="s">
        <v>563</v>
      </c>
      <c r="C56" s="393" t="s">
        <v>564</v>
      </c>
      <c r="D56" s="358" t="s">
        <v>565</v>
      </c>
      <c r="E56" s="358" t="s">
        <v>514</v>
      </c>
      <c r="F56" s="358"/>
      <c r="G56" s="358"/>
      <c r="H56" s="358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</row>
    <row r="57">
      <c r="A57" s="357">
        <v>54.0</v>
      </c>
      <c r="B57" s="358" t="s">
        <v>566</v>
      </c>
      <c r="C57" s="359" t="s">
        <v>567</v>
      </c>
      <c r="D57" s="358" t="s">
        <v>568</v>
      </c>
      <c r="E57" s="358" t="s">
        <v>514</v>
      </c>
      <c r="F57" s="358"/>
      <c r="G57" s="358"/>
      <c r="H57" s="358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</row>
    <row r="58">
      <c r="A58" s="357">
        <v>55.0</v>
      </c>
      <c r="B58" s="358" t="s">
        <v>569</v>
      </c>
      <c r="C58" s="393" t="s">
        <v>570</v>
      </c>
      <c r="D58" s="360" t="s">
        <v>571</v>
      </c>
      <c r="E58" s="358"/>
      <c r="F58" s="358"/>
      <c r="G58" s="358"/>
      <c r="H58" s="358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</row>
    <row r="59">
      <c r="A59" s="357">
        <v>56.0</v>
      </c>
      <c r="B59" s="358" t="s">
        <v>572</v>
      </c>
      <c r="C59" s="393" t="s">
        <v>573</v>
      </c>
      <c r="D59" s="358" t="s">
        <v>574</v>
      </c>
      <c r="E59" s="358" t="s">
        <v>514</v>
      </c>
      <c r="F59" s="358"/>
      <c r="G59" s="358"/>
      <c r="H59" s="358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</row>
    <row r="60">
      <c r="A60" s="357">
        <v>57.0</v>
      </c>
      <c r="B60" s="358" t="s">
        <v>575</v>
      </c>
      <c r="C60" s="359"/>
      <c r="D60" s="358"/>
      <c r="E60" s="358"/>
      <c r="F60" s="358"/>
      <c r="G60" s="358"/>
      <c r="H60" s="358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</row>
    <row r="61">
      <c r="A61" s="396">
        <v>58.0</v>
      </c>
      <c r="B61" s="397" t="s">
        <v>576</v>
      </c>
      <c r="C61" s="398"/>
      <c r="D61" s="397"/>
      <c r="E61" s="397"/>
      <c r="F61" s="397"/>
      <c r="G61" s="397"/>
      <c r="H61" s="397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</row>
    <row r="62">
      <c r="A62" s="326">
        <v>59.0</v>
      </c>
      <c r="B62" s="327" t="s">
        <v>577</v>
      </c>
      <c r="C62" s="399" t="s">
        <v>578</v>
      </c>
      <c r="D62" s="327" t="s">
        <v>579</v>
      </c>
      <c r="E62" s="327" t="s">
        <v>514</v>
      </c>
      <c r="F62" s="327" t="s">
        <v>580</v>
      </c>
      <c r="G62" s="327"/>
      <c r="H62" s="327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</row>
    <row r="63">
      <c r="A63" s="326">
        <v>60.0</v>
      </c>
      <c r="B63" s="327" t="s">
        <v>581</v>
      </c>
      <c r="C63" s="399" t="s">
        <v>582</v>
      </c>
      <c r="D63" s="327" t="s">
        <v>583</v>
      </c>
      <c r="E63" s="327" t="s">
        <v>514</v>
      </c>
      <c r="F63" s="327"/>
      <c r="G63" s="327"/>
      <c r="H63" s="327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</row>
    <row r="64">
      <c r="A64" s="326">
        <v>61.0</v>
      </c>
      <c r="B64" s="327" t="s">
        <v>584</v>
      </c>
      <c r="C64" s="332"/>
      <c r="D64" s="327" t="s">
        <v>585</v>
      </c>
      <c r="E64" s="327" t="s">
        <v>470</v>
      </c>
      <c r="F64" s="327"/>
      <c r="G64" s="327"/>
      <c r="H64" s="327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</row>
    <row r="65">
      <c r="A65" s="326">
        <v>62.0</v>
      </c>
      <c r="B65" s="327" t="s">
        <v>586</v>
      </c>
      <c r="C65" s="332"/>
      <c r="D65" s="327"/>
      <c r="E65" s="327"/>
      <c r="F65" s="327"/>
      <c r="G65" s="327"/>
      <c r="H65" s="327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</row>
    <row r="66">
      <c r="A66" s="326">
        <v>63.0</v>
      </c>
      <c r="B66" s="401" t="s">
        <v>587</v>
      </c>
      <c r="C66" s="383">
        <v>8.041871871E9</v>
      </c>
      <c r="D66" s="327" t="s">
        <v>588</v>
      </c>
      <c r="E66" s="327" t="s">
        <v>470</v>
      </c>
      <c r="F66" s="327" t="s">
        <v>589</v>
      </c>
      <c r="G66" s="327"/>
      <c r="H66" s="327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</row>
    <row r="67">
      <c r="A67" s="326">
        <v>64.0</v>
      </c>
      <c r="B67" s="327" t="s">
        <v>590</v>
      </c>
      <c r="C67" s="383">
        <v>8.001500702E9</v>
      </c>
      <c r="D67" s="327"/>
      <c r="E67" s="327" t="s">
        <v>591</v>
      </c>
      <c r="F67" s="327"/>
      <c r="G67" s="327"/>
      <c r="H67" s="327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</row>
    <row r="68">
      <c r="A68" s="326">
        <v>65.0</v>
      </c>
      <c r="B68" s="327" t="s">
        <v>592</v>
      </c>
      <c r="C68" s="383">
        <v>8.811212888E9</v>
      </c>
      <c r="D68" s="327" t="s">
        <v>593</v>
      </c>
      <c r="E68" s="327" t="s">
        <v>470</v>
      </c>
      <c r="F68" s="327"/>
      <c r="G68" s="327"/>
      <c r="H68" s="327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</row>
    <row r="69">
      <c r="A69" s="326">
        <v>66.0</v>
      </c>
      <c r="B69" s="327" t="s">
        <v>594</v>
      </c>
      <c r="C69" s="332"/>
      <c r="D69" s="327" t="s">
        <v>595</v>
      </c>
      <c r="E69" s="327" t="s">
        <v>470</v>
      </c>
      <c r="F69" s="327"/>
      <c r="G69" s="327"/>
      <c r="H69" s="327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</row>
    <row r="70">
      <c r="A70" s="326">
        <v>67.0</v>
      </c>
      <c r="B70" s="327" t="s">
        <v>596</v>
      </c>
      <c r="C70" s="332"/>
      <c r="D70" s="327" t="s">
        <v>597</v>
      </c>
      <c r="E70" s="327" t="s">
        <v>470</v>
      </c>
      <c r="F70" s="327"/>
      <c r="G70" s="327"/>
      <c r="H70" s="327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</row>
    <row r="71">
      <c r="A71" s="326">
        <v>68.0</v>
      </c>
      <c r="B71" s="327" t="s">
        <v>598</v>
      </c>
      <c r="C71" s="332"/>
      <c r="D71" s="327" t="s">
        <v>599</v>
      </c>
      <c r="E71" s="327" t="s">
        <v>470</v>
      </c>
      <c r="F71" s="327"/>
      <c r="G71" s="327"/>
      <c r="H71" s="327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</row>
    <row r="72">
      <c r="A72" s="346">
        <v>69.0</v>
      </c>
      <c r="B72" s="347" t="s">
        <v>600</v>
      </c>
      <c r="C72" s="348"/>
      <c r="D72" s="347" t="s">
        <v>601</v>
      </c>
      <c r="E72" s="347" t="s">
        <v>470</v>
      </c>
      <c r="F72" s="347" t="s">
        <v>438</v>
      </c>
      <c r="G72" s="347"/>
      <c r="H72" s="347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</row>
    <row r="73">
      <c r="A73" s="326">
        <v>70.0</v>
      </c>
      <c r="B73" s="327" t="s">
        <v>602</v>
      </c>
      <c r="C73" s="332"/>
      <c r="D73" s="327" t="s">
        <v>603</v>
      </c>
      <c r="E73" s="327" t="s">
        <v>470</v>
      </c>
      <c r="F73" s="327"/>
      <c r="G73" s="327"/>
      <c r="H73" s="327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</row>
    <row r="74">
      <c r="A74" s="326">
        <v>71.0</v>
      </c>
      <c r="B74" s="327" t="s">
        <v>604</v>
      </c>
      <c r="C74" s="332"/>
      <c r="D74" s="327"/>
      <c r="E74" s="327"/>
      <c r="F74" s="327"/>
      <c r="G74" s="327"/>
      <c r="H74" s="327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</row>
    <row r="75">
      <c r="A75" s="326">
        <v>72.0</v>
      </c>
      <c r="B75" s="327" t="s">
        <v>605</v>
      </c>
      <c r="C75" s="405" t="s">
        <v>606</v>
      </c>
      <c r="D75" s="410" t="s">
        <v>607</v>
      </c>
      <c r="E75" s="327" t="s">
        <v>608</v>
      </c>
      <c r="F75" s="327" t="s">
        <v>609</v>
      </c>
      <c r="G75" s="327"/>
      <c r="H75" s="327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</row>
    <row r="76">
      <c r="A76" s="326">
        <v>73.0</v>
      </c>
      <c r="B76" s="327" t="s">
        <v>610</v>
      </c>
      <c r="C76" s="392"/>
      <c r="D76" s="412"/>
      <c r="E76" s="327"/>
      <c r="F76" s="327"/>
      <c r="G76" s="327"/>
      <c r="H76" s="327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</row>
    <row r="77">
      <c r="A77" s="326">
        <v>74.0</v>
      </c>
      <c r="B77" s="329" t="s">
        <v>611</v>
      </c>
      <c r="C77" s="332"/>
      <c r="D77" s="413" t="s">
        <v>612</v>
      </c>
      <c r="E77" s="412" t="s">
        <v>608</v>
      </c>
      <c r="F77" s="327"/>
      <c r="G77" s="327"/>
      <c r="H77" s="327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</row>
    <row r="78">
      <c r="A78" s="326">
        <v>75.0</v>
      </c>
      <c r="B78" s="327" t="s">
        <v>613</v>
      </c>
      <c r="C78" s="332"/>
      <c r="D78" s="414" t="s">
        <v>614</v>
      </c>
      <c r="E78" s="412" t="s">
        <v>608</v>
      </c>
      <c r="F78" s="327"/>
      <c r="G78" s="327"/>
      <c r="H78" s="327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</row>
    <row r="79">
      <c r="A79" s="326">
        <v>76.0</v>
      </c>
      <c r="B79" s="327" t="s">
        <v>615</v>
      </c>
      <c r="C79" s="332"/>
      <c r="D79" s="415" t="s">
        <v>616</v>
      </c>
      <c r="E79" s="412" t="s">
        <v>608</v>
      </c>
      <c r="F79" s="327"/>
      <c r="G79" s="327"/>
      <c r="H79" s="327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</row>
    <row r="80">
      <c r="A80" s="326">
        <v>77.0</v>
      </c>
      <c r="B80" s="327" t="s">
        <v>617</v>
      </c>
      <c r="C80" s="416" t="s">
        <v>618</v>
      </c>
      <c r="D80" s="417" t="s">
        <v>619</v>
      </c>
      <c r="E80" s="412" t="s">
        <v>608</v>
      </c>
      <c r="F80" s="327" t="s">
        <v>620</v>
      </c>
      <c r="G80" s="327"/>
      <c r="H80" s="327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</row>
    <row r="81">
      <c r="A81" s="326">
        <v>78.0</v>
      </c>
      <c r="B81" s="327" t="s">
        <v>621</v>
      </c>
      <c r="C81" s="418" t="s">
        <v>622</v>
      </c>
      <c r="D81" s="327"/>
      <c r="E81" s="327"/>
      <c r="F81" s="327"/>
      <c r="G81" s="327"/>
      <c r="H81" s="327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</row>
    <row r="82">
      <c r="A82" s="326">
        <v>79.0</v>
      </c>
      <c r="B82" s="327" t="s">
        <v>623</v>
      </c>
      <c r="C82" s="419" t="s">
        <v>624</v>
      </c>
      <c r="D82" s="420" t="s">
        <v>625</v>
      </c>
      <c r="E82" s="412" t="s">
        <v>608</v>
      </c>
      <c r="F82" s="327"/>
      <c r="G82" s="327"/>
      <c r="H82" s="327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</row>
    <row r="83">
      <c r="A83" s="326">
        <v>80.0</v>
      </c>
      <c r="B83" s="327" t="s">
        <v>626</v>
      </c>
      <c r="C83" s="421" t="s">
        <v>627</v>
      </c>
      <c r="D83" s="422" t="s">
        <v>628</v>
      </c>
      <c r="E83" s="412" t="s">
        <v>608</v>
      </c>
      <c r="F83" s="327" t="s">
        <v>629</v>
      </c>
      <c r="G83" s="327"/>
      <c r="H83" s="327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</row>
    <row r="84">
      <c r="A84" s="326">
        <v>81.0</v>
      </c>
      <c r="B84" s="327" t="s">
        <v>630</v>
      </c>
      <c r="C84" s="332"/>
      <c r="D84" s="424" t="s">
        <v>631</v>
      </c>
      <c r="E84" s="412" t="s">
        <v>608</v>
      </c>
      <c r="F84" s="327"/>
      <c r="G84" s="327"/>
      <c r="H84" s="327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</row>
    <row r="85">
      <c r="A85" s="326">
        <v>82.0</v>
      </c>
      <c r="B85" s="327" t="s">
        <v>632</v>
      </c>
      <c r="C85" s="332"/>
      <c r="D85" s="426" t="s">
        <v>633</v>
      </c>
      <c r="E85" s="412" t="s">
        <v>608</v>
      </c>
      <c r="F85" s="327"/>
      <c r="G85" s="327"/>
      <c r="H85" s="327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</row>
    <row r="86">
      <c r="A86" s="235"/>
      <c r="B86" s="235"/>
      <c r="C86" s="342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</row>
    <row r="87">
      <c r="A87" s="235"/>
      <c r="B87" s="235"/>
      <c r="C87" s="342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</row>
    <row r="88">
      <c r="A88" s="235"/>
      <c r="B88" s="235"/>
      <c r="C88" s="342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</row>
    <row r="89">
      <c r="A89" s="235"/>
      <c r="B89" s="235"/>
      <c r="C89" s="342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</row>
    <row r="90">
      <c r="A90" s="235"/>
      <c r="B90" s="235"/>
      <c r="C90" s="342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</row>
    <row r="91">
      <c r="A91" s="235"/>
      <c r="B91" s="235"/>
      <c r="C91" s="342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</row>
    <row r="92">
      <c r="A92" s="235"/>
      <c r="B92" s="235"/>
      <c r="C92" s="342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</row>
    <row r="93">
      <c r="A93" s="235"/>
      <c r="B93" s="235"/>
      <c r="C93" s="342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</row>
    <row r="94">
      <c r="A94" s="235"/>
      <c r="B94" s="235"/>
      <c r="C94" s="342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</row>
    <row r="95">
      <c r="A95" s="235"/>
      <c r="B95" s="235"/>
      <c r="C95" s="342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</row>
    <row r="96">
      <c r="A96" s="235"/>
      <c r="B96" s="235"/>
      <c r="C96" s="342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</row>
    <row r="97">
      <c r="A97" s="235"/>
      <c r="B97" s="235"/>
      <c r="C97" s="342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</row>
    <row r="98">
      <c r="A98" s="235"/>
      <c r="B98" s="235"/>
      <c r="C98" s="342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</row>
    <row r="99">
      <c r="A99" s="235"/>
      <c r="B99" s="235"/>
      <c r="C99" s="342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</row>
    <row r="100">
      <c r="A100" s="235"/>
      <c r="B100" s="235"/>
      <c r="C100" s="342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</row>
    <row r="101">
      <c r="A101" s="235"/>
      <c r="B101" s="235"/>
      <c r="C101" s="342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</row>
    <row r="102">
      <c r="A102" s="235"/>
      <c r="B102" s="235"/>
      <c r="C102" s="342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</row>
    <row r="103">
      <c r="A103" s="235"/>
      <c r="B103" s="235"/>
      <c r="C103" s="342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</row>
    <row r="104">
      <c r="A104" s="235"/>
      <c r="B104" s="235"/>
      <c r="C104" s="342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</row>
    <row r="105">
      <c r="A105" s="235"/>
      <c r="B105" s="235"/>
      <c r="C105" s="342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</row>
    <row r="106">
      <c r="A106" s="235"/>
      <c r="B106" s="235"/>
      <c r="C106" s="342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</row>
    <row r="107">
      <c r="A107" s="235"/>
      <c r="B107" s="235"/>
      <c r="C107" s="342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</row>
    <row r="108">
      <c r="A108" s="235"/>
      <c r="B108" s="235"/>
      <c r="C108" s="342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</row>
    <row r="109">
      <c r="A109" s="235"/>
      <c r="B109" s="235"/>
      <c r="C109" s="342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</row>
    <row r="110">
      <c r="A110" s="235"/>
      <c r="B110" s="235"/>
      <c r="C110" s="342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</row>
    <row r="111">
      <c r="A111" s="235"/>
      <c r="B111" s="235"/>
      <c r="C111" s="342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</row>
    <row r="112">
      <c r="A112" s="235"/>
      <c r="B112" s="235"/>
      <c r="C112" s="342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</row>
    <row r="113">
      <c r="A113" s="235"/>
      <c r="B113" s="235"/>
      <c r="C113" s="342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</row>
    <row r="114">
      <c r="A114" s="235"/>
      <c r="B114" s="235"/>
      <c r="C114" s="342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</row>
    <row r="115">
      <c r="A115" s="235"/>
      <c r="B115" s="235"/>
      <c r="C115" s="342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</row>
    <row r="116">
      <c r="A116" s="235"/>
      <c r="B116" s="235"/>
      <c r="C116" s="342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</row>
    <row r="117">
      <c r="A117" s="235"/>
      <c r="B117" s="235"/>
      <c r="C117" s="342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</row>
    <row r="118">
      <c r="A118" s="235"/>
      <c r="B118" s="235"/>
      <c r="C118" s="342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</row>
    <row r="119">
      <c r="A119" s="235"/>
      <c r="B119" s="235"/>
      <c r="C119" s="342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</row>
    <row r="120">
      <c r="A120" s="235"/>
      <c r="B120" s="235"/>
      <c r="C120" s="342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  <c r="Z120" s="235"/>
    </row>
    <row r="121">
      <c r="A121" s="235"/>
      <c r="B121" s="235"/>
      <c r="C121" s="342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</row>
    <row r="122">
      <c r="A122" s="235"/>
      <c r="B122" s="235"/>
      <c r="C122" s="342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</row>
    <row r="123">
      <c r="A123" s="235"/>
      <c r="B123" s="235"/>
      <c r="C123" s="342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</row>
    <row r="124">
      <c r="A124" s="235"/>
      <c r="B124" s="235"/>
      <c r="C124" s="342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</row>
    <row r="125">
      <c r="A125" s="235"/>
      <c r="B125" s="235"/>
      <c r="C125" s="342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</row>
    <row r="126">
      <c r="A126" s="235"/>
      <c r="B126" s="235"/>
      <c r="C126" s="342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</row>
    <row r="127">
      <c r="A127" s="235"/>
      <c r="B127" s="235"/>
      <c r="C127" s="342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35"/>
      <c r="X127" s="235"/>
      <c r="Y127" s="235"/>
      <c r="Z127" s="235"/>
    </row>
    <row r="128">
      <c r="A128" s="235"/>
      <c r="B128" s="235"/>
      <c r="C128" s="342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</row>
    <row r="129">
      <c r="A129" s="235"/>
      <c r="B129" s="235"/>
      <c r="C129" s="342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</row>
    <row r="130">
      <c r="A130" s="235"/>
      <c r="B130" s="235"/>
      <c r="C130" s="342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</row>
    <row r="131">
      <c r="A131" s="235"/>
      <c r="B131" s="235"/>
      <c r="C131" s="342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</row>
    <row r="132">
      <c r="A132" s="235"/>
      <c r="B132" s="235"/>
      <c r="C132" s="342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</row>
    <row r="133">
      <c r="A133" s="235"/>
      <c r="B133" s="235"/>
      <c r="C133" s="342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</row>
    <row r="134">
      <c r="A134" s="235"/>
      <c r="B134" s="235"/>
      <c r="C134" s="342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</row>
    <row r="135">
      <c r="A135" s="235"/>
      <c r="B135" s="235"/>
      <c r="C135" s="342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</row>
    <row r="136">
      <c r="A136" s="235"/>
      <c r="B136" s="235"/>
      <c r="C136" s="342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35"/>
    </row>
    <row r="137">
      <c r="A137" s="235"/>
      <c r="B137" s="235"/>
      <c r="C137" s="342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</row>
    <row r="138">
      <c r="A138" s="235"/>
      <c r="B138" s="235"/>
      <c r="C138" s="342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</row>
    <row r="139">
      <c r="A139" s="235"/>
      <c r="B139" s="235"/>
      <c r="C139" s="342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  <c r="Z139" s="235"/>
    </row>
    <row r="140">
      <c r="A140" s="235"/>
      <c r="B140" s="235"/>
      <c r="C140" s="342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  <c r="Z140" s="235"/>
    </row>
    <row r="141">
      <c r="A141" s="235"/>
      <c r="B141" s="235"/>
      <c r="C141" s="342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</row>
    <row r="142">
      <c r="A142" s="235"/>
      <c r="B142" s="235"/>
      <c r="C142" s="342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</row>
    <row r="143">
      <c r="A143" s="235"/>
      <c r="B143" s="235"/>
      <c r="C143" s="342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</row>
    <row r="144">
      <c r="A144" s="235"/>
      <c r="B144" s="235"/>
      <c r="C144" s="342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</row>
    <row r="145">
      <c r="A145" s="235"/>
      <c r="B145" s="235"/>
      <c r="C145" s="342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</row>
    <row r="146">
      <c r="A146" s="235"/>
      <c r="B146" s="235"/>
      <c r="C146" s="342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</row>
    <row r="147">
      <c r="A147" s="235"/>
      <c r="B147" s="235"/>
      <c r="C147" s="342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</row>
    <row r="148">
      <c r="A148" s="235"/>
      <c r="B148" s="235"/>
      <c r="C148" s="342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</row>
    <row r="149">
      <c r="A149" s="235"/>
      <c r="B149" s="235"/>
      <c r="C149" s="342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  <c r="Z149" s="235"/>
    </row>
    <row r="150">
      <c r="A150" s="235"/>
      <c r="B150" s="235"/>
      <c r="C150" s="342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</row>
    <row r="151">
      <c r="A151" s="235"/>
      <c r="B151" s="235"/>
      <c r="C151" s="342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</row>
    <row r="152">
      <c r="A152" s="235"/>
      <c r="B152" s="235"/>
      <c r="C152" s="342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</row>
    <row r="153">
      <c r="A153" s="235"/>
      <c r="B153" s="235"/>
      <c r="C153" s="342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</row>
    <row r="154">
      <c r="A154" s="235"/>
      <c r="B154" s="235"/>
      <c r="C154" s="342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</row>
    <row r="155">
      <c r="A155" s="235"/>
      <c r="B155" s="235"/>
      <c r="C155" s="342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</row>
    <row r="156">
      <c r="A156" s="235"/>
      <c r="B156" s="235"/>
      <c r="C156" s="342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35"/>
      <c r="X156" s="235"/>
      <c r="Y156" s="235"/>
      <c r="Z156" s="235"/>
    </row>
    <row r="157">
      <c r="A157" s="235"/>
      <c r="B157" s="235"/>
      <c r="C157" s="342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35"/>
      <c r="X157" s="235"/>
      <c r="Y157" s="235"/>
      <c r="Z157" s="235"/>
    </row>
    <row r="158">
      <c r="A158" s="235"/>
      <c r="B158" s="235"/>
      <c r="C158" s="342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  <c r="Z158" s="235"/>
    </row>
    <row r="159">
      <c r="A159" s="235"/>
      <c r="B159" s="235"/>
      <c r="C159" s="342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</row>
    <row r="160">
      <c r="A160" s="235"/>
      <c r="B160" s="235"/>
      <c r="C160" s="342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</row>
    <row r="161">
      <c r="A161" s="235"/>
      <c r="B161" s="235"/>
      <c r="C161" s="342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</row>
    <row r="162">
      <c r="A162" s="235"/>
      <c r="B162" s="235"/>
      <c r="C162" s="342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5"/>
      <c r="Y162" s="235"/>
      <c r="Z162" s="235"/>
    </row>
    <row r="163">
      <c r="A163" s="235"/>
      <c r="B163" s="235"/>
      <c r="C163" s="342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35"/>
      <c r="X163" s="235"/>
      <c r="Y163" s="235"/>
      <c r="Z163" s="235"/>
    </row>
    <row r="164">
      <c r="A164" s="235"/>
      <c r="B164" s="235"/>
      <c r="C164" s="342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35"/>
      <c r="X164" s="235"/>
      <c r="Y164" s="235"/>
      <c r="Z164" s="235"/>
    </row>
    <row r="165">
      <c r="A165" s="235"/>
      <c r="B165" s="235"/>
      <c r="C165" s="342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  <c r="Z165" s="235"/>
    </row>
    <row r="166">
      <c r="A166" s="235"/>
      <c r="B166" s="235"/>
      <c r="C166" s="342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  <c r="Z166" s="235"/>
    </row>
    <row r="167">
      <c r="A167" s="235"/>
      <c r="B167" s="235"/>
      <c r="C167" s="342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35"/>
      <c r="X167" s="235"/>
      <c r="Y167" s="235"/>
      <c r="Z167" s="235"/>
    </row>
    <row r="168">
      <c r="A168" s="235"/>
      <c r="B168" s="235"/>
      <c r="C168" s="342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35"/>
      <c r="X168" s="235"/>
      <c r="Y168" s="235"/>
      <c r="Z168" s="235"/>
    </row>
    <row r="169">
      <c r="A169" s="235"/>
      <c r="B169" s="235"/>
      <c r="C169" s="342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  <c r="Z169" s="235"/>
    </row>
    <row r="170">
      <c r="A170" s="235"/>
      <c r="B170" s="235"/>
      <c r="C170" s="342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</row>
    <row r="171">
      <c r="A171" s="235"/>
      <c r="B171" s="235"/>
      <c r="C171" s="342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  <c r="Z171" s="235"/>
    </row>
    <row r="172">
      <c r="A172" s="235"/>
      <c r="B172" s="235"/>
      <c r="C172" s="342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35"/>
    </row>
    <row r="173">
      <c r="A173" s="235"/>
      <c r="B173" s="235"/>
      <c r="C173" s="342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  <c r="Z173" s="235"/>
    </row>
    <row r="174">
      <c r="A174" s="235"/>
      <c r="B174" s="235"/>
      <c r="C174" s="342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  <c r="Z174" s="235"/>
    </row>
    <row r="175">
      <c r="A175" s="235"/>
      <c r="B175" s="235"/>
      <c r="C175" s="342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  <c r="Z175" s="235"/>
    </row>
    <row r="176">
      <c r="A176" s="235"/>
      <c r="B176" s="235"/>
      <c r="C176" s="342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  <c r="Z176" s="235"/>
    </row>
    <row r="177">
      <c r="A177" s="235"/>
      <c r="B177" s="235"/>
      <c r="C177" s="342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35"/>
      <c r="X177" s="235"/>
      <c r="Y177" s="235"/>
      <c r="Z177" s="235"/>
    </row>
    <row r="178">
      <c r="A178" s="235"/>
      <c r="B178" s="235"/>
      <c r="C178" s="342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</row>
    <row r="179">
      <c r="A179" s="235"/>
      <c r="B179" s="235"/>
      <c r="C179" s="342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</row>
    <row r="180">
      <c r="A180" s="235"/>
      <c r="B180" s="235"/>
      <c r="C180" s="342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</row>
    <row r="181">
      <c r="A181" s="235"/>
      <c r="B181" s="235"/>
      <c r="C181" s="342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</row>
    <row r="182">
      <c r="A182" s="235"/>
      <c r="B182" s="235"/>
      <c r="C182" s="342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</row>
    <row r="183">
      <c r="A183" s="235"/>
      <c r="B183" s="235"/>
      <c r="C183" s="342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</row>
    <row r="184">
      <c r="A184" s="235"/>
      <c r="B184" s="235"/>
      <c r="C184" s="342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</row>
    <row r="185">
      <c r="A185" s="235"/>
      <c r="B185" s="235"/>
      <c r="C185" s="342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35"/>
      <c r="W185" s="235"/>
      <c r="X185" s="235"/>
      <c r="Y185" s="235"/>
      <c r="Z185" s="235"/>
    </row>
    <row r="186">
      <c r="A186" s="235"/>
      <c r="B186" s="235"/>
      <c r="C186" s="342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35"/>
      <c r="W186" s="235"/>
      <c r="X186" s="235"/>
      <c r="Y186" s="235"/>
      <c r="Z186" s="235"/>
    </row>
    <row r="187">
      <c r="A187" s="235"/>
      <c r="B187" s="235"/>
      <c r="C187" s="342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</row>
    <row r="188">
      <c r="A188" s="235"/>
      <c r="B188" s="235"/>
      <c r="C188" s="342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</row>
    <row r="189">
      <c r="A189" s="235"/>
      <c r="B189" s="235"/>
      <c r="C189" s="342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</row>
    <row r="190">
      <c r="A190" s="235"/>
      <c r="B190" s="235"/>
      <c r="C190" s="342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</row>
    <row r="191">
      <c r="A191" s="235"/>
      <c r="B191" s="235"/>
      <c r="C191" s="342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</row>
    <row r="192">
      <c r="A192" s="235"/>
      <c r="B192" s="235"/>
      <c r="C192" s="342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  <c r="Z192" s="235"/>
    </row>
    <row r="193">
      <c r="A193" s="235"/>
      <c r="B193" s="235"/>
      <c r="C193" s="342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  <c r="Z193" s="235"/>
    </row>
    <row r="194">
      <c r="A194" s="235"/>
      <c r="B194" s="235"/>
      <c r="C194" s="342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  <c r="Z194" s="235"/>
    </row>
    <row r="195">
      <c r="A195" s="235"/>
      <c r="B195" s="235"/>
      <c r="C195" s="342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</row>
    <row r="196">
      <c r="A196" s="235"/>
      <c r="B196" s="235"/>
      <c r="C196" s="342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</row>
    <row r="197">
      <c r="A197" s="235"/>
      <c r="B197" s="235"/>
      <c r="C197" s="342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</row>
    <row r="198">
      <c r="A198" s="235"/>
      <c r="B198" s="235"/>
      <c r="C198" s="342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</row>
    <row r="199">
      <c r="A199" s="235"/>
      <c r="B199" s="235"/>
      <c r="C199" s="342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</row>
    <row r="200">
      <c r="A200" s="235"/>
      <c r="B200" s="235"/>
      <c r="C200" s="342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  <c r="Z200" s="235"/>
    </row>
    <row r="201">
      <c r="A201" s="235"/>
      <c r="B201" s="235"/>
      <c r="C201" s="342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  <c r="Z201" s="235"/>
    </row>
    <row r="202">
      <c r="A202" s="235"/>
      <c r="B202" s="235"/>
      <c r="C202" s="342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</row>
    <row r="203">
      <c r="A203" s="235"/>
      <c r="B203" s="235"/>
      <c r="C203" s="342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</row>
    <row r="204">
      <c r="A204" s="235"/>
      <c r="B204" s="235"/>
      <c r="C204" s="342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</row>
    <row r="205">
      <c r="A205" s="235"/>
      <c r="B205" s="235"/>
      <c r="C205" s="342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</row>
    <row r="206">
      <c r="A206" s="235"/>
      <c r="B206" s="235"/>
      <c r="C206" s="342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</row>
    <row r="207">
      <c r="A207" s="235"/>
      <c r="B207" s="235"/>
      <c r="C207" s="342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  <c r="Z207" s="235"/>
    </row>
    <row r="208">
      <c r="A208" s="235"/>
      <c r="B208" s="235"/>
      <c r="C208" s="342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  <c r="Z208" s="235"/>
    </row>
    <row r="209">
      <c r="A209" s="235"/>
      <c r="B209" s="235"/>
      <c r="C209" s="342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</row>
    <row r="210">
      <c r="A210" s="235"/>
      <c r="B210" s="235"/>
      <c r="C210" s="342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35"/>
      <c r="W210" s="235"/>
      <c r="X210" s="235"/>
      <c r="Y210" s="235"/>
      <c r="Z210" s="235"/>
    </row>
    <row r="211">
      <c r="A211" s="235"/>
      <c r="B211" s="235"/>
      <c r="C211" s="342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</row>
    <row r="212">
      <c r="A212" s="235"/>
      <c r="B212" s="235"/>
      <c r="C212" s="342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35"/>
      <c r="W212" s="235"/>
      <c r="X212" s="235"/>
      <c r="Y212" s="235"/>
      <c r="Z212" s="235"/>
    </row>
    <row r="213">
      <c r="A213" s="235"/>
      <c r="B213" s="235"/>
      <c r="C213" s="342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  <c r="Z213" s="235"/>
    </row>
    <row r="214">
      <c r="A214" s="235"/>
      <c r="B214" s="235"/>
      <c r="C214" s="342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</row>
    <row r="215">
      <c r="A215" s="235"/>
      <c r="B215" s="235"/>
      <c r="C215" s="342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</row>
    <row r="216">
      <c r="A216" s="235"/>
      <c r="B216" s="235"/>
      <c r="C216" s="342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  <c r="Z216" s="235"/>
    </row>
    <row r="217">
      <c r="A217" s="235"/>
      <c r="B217" s="235"/>
      <c r="C217" s="342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  <c r="Z217" s="235"/>
    </row>
    <row r="218">
      <c r="A218" s="235"/>
      <c r="B218" s="235"/>
      <c r="C218" s="342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  <c r="Z218" s="235"/>
    </row>
    <row r="219">
      <c r="A219" s="235"/>
      <c r="B219" s="235"/>
      <c r="C219" s="342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35"/>
      <c r="W219" s="235"/>
      <c r="X219" s="235"/>
      <c r="Y219" s="235"/>
      <c r="Z219" s="235"/>
    </row>
    <row r="220">
      <c r="A220" s="235"/>
      <c r="B220" s="235"/>
      <c r="C220" s="342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</row>
    <row r="221">
      <c r="A221" s="235"/>
      <c r="B221" s="235"/>
      <c r="C221" s="342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35"/>
      <c r="W221" s="235"/>
      <c r="X221" s="235"/>
      <c r="Y221" s="235"/>
      <c r="Z221" s="235"/>
    </row>
    <row r="222">
      <c r="A222" s="235"/>
      <c r="B222" s="235"/>
      <c r="C222" s="342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</row>
    <row r="223">
      <c r="A223" s="235"/>
      <c r="B223" s="235"/>
      <c r="C223" s="342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</row>
    <row r="224">
      <c r="A224" s="235"/>
      <c r="B224" s="235"/>
      <c r="C224" s="342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  <c r="Z224" s="235"/>
    </row>
    <row r="225">
      <c r="A225" s="235"/>
      <c r="B225" s="235"/>
      <c r="C225" s="342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35"/>
      <c r="W225" s="235"/>
      <c r="X225" s="235"/>
      <c r="Y225" s="235"/>
      <c r="Z225" s="235"/>
    </row>
    <row r="226">
      <c r="A226" s="235"/>
      <c r="B226" s="235"/>
      <c r="C226" s="342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  <c r="Z226" s="235"/>
    </row>
    <row r="227">
      <c r="A227" s="235"/>
      <c r="B227" s="235"/>
      <c r="C227" s="342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  <c r="Z227" s="235"/>
    </row>
    <row r="228">
      <c r="A228" s="235"/>
      <c r="B228" s="235"/>
      <c r="C228" s="342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</row>
    <row r="229">
      <c r="A229" s="235"/>
      <c r="B229" s="235"/>
      <c r="C229" s="342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35"/>
      <c r="W229" s="235"/>
      <c r="X229" s="235"/>
      <c r="Y229" s="235"/>
      <c r="Z229" s="235"/>
    </row>
    <row r="230">
      <c r="A230" s="235"/>
      <c r="B230" s="235"/>
      <c r="C230" s="342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35"/>
      <c r="W230" s="235"/>
      <c r="X230" s="235"/>
      <c r="Y230" s="235"/>
      <c r="Z230" s="235"/>
    </row>
    <row r="231">
      <c r="A231" s="235"/>
      <c r="B231" s="235"/>
      <c r="C231" s="342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  <c r="Z231" s="235"/>
    </row>
    <row r="232">
      <c r="A232" s="235"/>
      <c r="B232" s="235"/>
      <c r="C232" s="342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35"/>
      <c r="W232" s="235"/>
      <c r="X232" s="235"/>
      <c r="Y232" s="235"/>
      <c r="Z232" s="235"/>
    </row>
    <row r="233">
      <c r="A233" s="235"/>
      <c r="B233" s="235"/>
      <c r="C233" s="342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  <c r="Z233" s="235"/>
    </row>
    <row r="234">
      <c r="A234" s="235"/>
      <c r="B234" s="235"/>
      <c r="C234" s="342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35"/>
      <c r="W234" s="235"/>
      <c r="X234" s="235"/>
      <c r="Y234" s="235"/>
      <c r="Z234" s="235"/>
    </row>
    <row r="235">
      <c r="A235" s="235"/>
      <c r="B235" s="235"/>
      <c r="C235" s="342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</row>
    <row r="236">
      <c r="A236" s="235"/>
      <c r="B236" s="235"/>
      <c r="C236" s="342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</row>
    <row r="237">
      <c r="A237" s="235"/>
      <c r="B237" s="235"/>
      <c r="C237" s="342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</row>
    <row r="238">
      <c r="A238" s="235"/>
      <c r="B238" s="235"/>
      <c r="C238" s="342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  <c r="Z238" s="235"/>
    </row>
    <row r="239">
      <c r="A239" s="235"/>
      <c r="B239" s="235"/>
      <c r="C239" s="342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  <c r="Z239" s="235"/>
    </row>
    <row r="240">
      <c r="A240" s="235"/>
      <c r="B240" s="235"/>
      <c r="C240" s="342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35"/>
      <c r="W240" s="235"/>
      <c r="X240" s="235"/>
      <c r="Y240" s="235"/>
      <c r="Z240" s="235"/>
    </row>
    <row r="241">
      <c r="A241" s="235"/>
      <c r="B241" s="235"/>
      <c r="C241" s="342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</row>
    <row r="242">
      <c r="A242" s="235"/>
      <c r="B242" s="235"/>
      <c r="C242" s="342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  <c r="Z242" s="235"/>
    </row>
    <row r="243">
      <c r="A243" s="235"/>
      <c r="B243" s="235"/>
      <c r="C243" s="342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</row>
    <row r="244">
      <c r="A244" s="235"/>
      <c r="B244" s="235"/>
      <c r="C244" s="342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35"/>
      <c r="W244" s="235"/>
      <c r="X244" s="235"/>
      <c r="Y244" s="235"/>
      <c r="Z244" s="235"/>
    </row>
    <row r="245">
      <c r="A245" s="235"/>
      <c r="B245" s="235"/>
      <c r="C245" s="342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35"/>
      <c r="W245" s="235"/>
      <c r="X245" s="235"/>
      <c r="Y245" s="235"/>
      <c r="Z245" s="235"/>
    </row>
    <row r="246">
      <c r="A246" s="235"/>
      <c r="B246" s="235"/>
      <c r="C246" s="342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  <c r="Z246" s="235"/>
    </row>
    <row r="247">
      <c r="A247" s="235"/>
      <c r="B247" s="235"/>
      <c r="C247" s="342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35"/>
      <c r="W247" s="235"/>
      <c r="X247" s="235"/>
      <c r="Y247" s="235"/>
      <c r="Z247" s="235"/>
    </row>
    <row r="248">
      <c r="A248" s="235"/>
      <c r="B248" s="235"/>
      <c r="C248" s="342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35"/>
      <c r="W248" s="235"/>
      <c r="X248" s="235"/>
      <c r="Y248" s="235"/>
      <c r="Z248" s="235"/>
    </row>
    <row r="249">
      <c r="A249" s="235"/>
      <c r="B249" s="235"/>
      <c r="C249" s="342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35"/>
      <c r="W249" s="235"/>
      <c r="X249" s="235"/>
      <c r="Y249" s="235"/>
      <c r="Z249" s="235"/>
    </row>
    <row r="250">
      <c r="A250" s="235"/>
      <c r="B250" s="235"/>
      <c r="C250" s="342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35"/>
      <c r="W250" s="235"/>
      <c r="X250" s="235"/>
      <c r="Y250" s="235"/>
      <c r="Z250" s="235"/>
    </row>
    <row r="251">
      <c r="A251" s="235"/>
      <c r="B251" s="235"/>
      <c r="C251" s="342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35"/>
      <c r="W251" s="235"/>
      <c r="X251" s="235"/>
      <c r="Y251" s="235"/>
      <c r="Z251" s="235"/>
    </row>
    <row r="252">
      <c r="A252" s="235"/>
      <c r="B252" s="235"/>
      <c r="C252" s="342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  <c r="Z252" s="235"/>
    </row>
    <row r="253">
      <c r="A253" s="235"/>
      <c r="B253" s="235"/>
      <c r="C253" s="342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  <c r="Z253" s="235"/>
    </row>
    <row r="254">
      <c r="A254" s="235"/>
      <c r="B254" s="235"/>
      <c r="C254" s="342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35"/>
      <c r="W254" s="235"/>
      <c r="X254" s="235"/>
      <c r="Y254" s="235"/>
      <c r="Z254" s="235"/>
    </row>
    <row r="255">
      <c r="A255" s="235"/>
      <c r="B255" s="235"/>
      <c r="C255" s="342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35"/>
      <c r="W255" s="235"/>
      <c r="X255" s="235"/>
      <c r="Y255" s="235"/>
      <c r="Z255" s="235"/>
    </row>
    <row r="256">
      <c r="A256" s="235"/>
      <c r="B256" s="235"/>
      <c r="C256" s="342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35"/>
      <c r="W256" s="235"/>
      <c r="X256" s="235"/>
      <c r="Y256" s="235"/>
      <c r="Z256" s="235"/>
    </row>
    <row r="257">
      <c r="A257" s="235"/>
      <c r="B257" s="235"/>
      <c r="C257" s="342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  <c r="Z257" s="235"/>
    </row>
    <row r="258">
      <c r="A258" s="235"/>
      <c r="B258" s="235"/>
      <c r="C258" s="342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</row>
    <row r="259">
      <c r="A259" s="235"/>
      <c r="B259" s="235"/>
      <c r="C259" s="342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  <c r="Z259" s="235"/>
    </row>
    <row r="260">
      <c r="A260" s="235"/>
      <c r="B260" s="235"/>
      <c r="C260" s="342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  <c r="Z260" s="235"/>
    </row>
    <row r="261">
      <c r="A261" s="235"/>
      <c r="B261" s="235"/>
      <c r="C261" s="342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35"/>
      <c r="W261" s="235"/>
      <c r="X261" s="235"/>
      <c r="Y261" s="235"/>
      <c r="Z261" s="235"/>
    </row>
    <row r="262">
      <c r="A262" s="235"/>
      <c r="B262" s="235"/>
      <c r="C262" s="342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35"/>
      <c r="W262" s="235"/>
      <c r="X262" s="235"/>
      <c r="Y262" s="235"/>
      <c r="Z262" s="235"/>
    </row>
    <row r="263">
      <c r="A263" s="235"/>
      <c r="B263" s="235"/>
      <c r="C263" s="342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  <c r="Z263" s="235"/>
    </row>
    <row r="264">
      <c r="A264" s="235"/>
      <c r="B264" s="235"/>
      <c r="C264" s="342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35"/>
      <c r="W264" s="235"/>
      <c r="X264" s="235"/>
      <c r="Y264" s="235"/>
      <c r="Z264" s="235"/>
    </row>
    <row r="265">
      <c r="A265" s="235"/>
      <c r="B265" s="235"/>
      <c r="C265" s="342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35"/>
      <c r="W265" s="235"/>
      <c r="X265" s="235"/>
      <c r="Y265" s="235"/>
      <c r="Z265" s="235"/>
    </row>
    <row r="266">
      <c r="A266" s="235"/>
      <c r="B266" s="235"/>
      <c r="C266" s="342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35"/>
      <c r="W266" s="235"/>
      <c r="X266" s="235"/>
      <c r="Y266" s="235"/>
      <c r="Z266" s="235"/>
    </row>
    <row r="267">
      <c r="A267" s="235"/>
      <c r="B267" s="235"/>
      <c r="C267" s="342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  <c r="Z267" s="235"/>
    </row>
    <row r="268">
      <c r="A268" s="235"/>
      <c r="B268" s="235"/>
      <c r="C268" s="342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  <c r="Z268" s="235"/>
    </row>
    <row r="269">
      <c r="A269" s="235"/>
      <c r="B269" s="235"/>
      <c r="C269" s="342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35"/>
      <c r="W269" s="235"/>
      <c r="X269" s="235"/>
      <c r="Y269" s="235"/>
      <c r="Z269" s="235"/>
    </row>
    <row r="270">
      <c r="A270" s="235"/>
      <c r="B270" s="235"/>
      <c r="C270" s="342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35"/>
      <c r="W270" s="235"/>
      <c r="X270" s="235"/>
      <c r="Y270" s="235"/>
      <c r="Z270" s="235"/>
    </row>
    <row r="271">
      <c r="A271" s="235"/>
      <c r="B271" s="235"/>
      <c r="C271" s="342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35"/>
      <c r="W271" s="235"/>
      <c r="X271" s="235"/>
      <c r="Y271" s="235"/>
      <c r="Z271" s="235"/>
    </row>
    <row r="272">
      <c r="A272" s="235"/>
      <c r="B272" s="235"/>
      <c r="C272" s="342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</row>
    <row r="273">
      <c r="A273" s="235"/>
      <c r="B273" s="235"/>
      <c r="C273" s="342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</row>
    <row r="274">
      <c r="A274" s="235"/>
      <c r="B274" s="235"/>
      <c r="C274" s="342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</row>
    <row r="275">
      <c r="A275" s="235"/>
      <c r="B275" s="235"/>
      <c r="C275" s="342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  <c r="Z275" s="235"/>
    </row>
    <row r="276">
      <c r="A276" s="235"/>
      <c r="B276" s="235"/>
      <c r="C276" s="342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</row>
    <row r="277">
      <c r="A277" s="235"/>
      <c r="B277" s="235"/>
      <c r="C277" s="342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35"/>
      <c r="W277" s="235"/>
      <c r="X277" s="235"/>
      <c r="Y277" s="235"/>
      <c r="Z277" s="235"/>
    </row>
    <row r="278">
      <c r="A278" s="235"/>
      <c r="B278" s="235"/>
      <c r="C278" s="342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35"/>
      <c r="W278" s="235"/>
      <c r="X278" s="235"/>
      <c r="Y278" s="235"/>
      <c r="Z278" s="235"/>
    </row>
    <row r="279">
      <c r="A279" s="235"/>
      <c r="B279" s="235"/>
      <c r="C279" s="342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35"/>
      <c r="W279" s="235"/>
      <c r="X279" s="235"/>
      <c r="Y279" s="235"/>
      <c r="Z279" s="235"/>
    </row>
    <row r="280">
      <c r="A280" s="235"/>
      <c r="B280" s="235"/>
      <c r="C280" s="342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</row>
    <row r="281">
      <c r="A281" s="235"/>
      <c r="B281" s="235"/>
      <c r="C281" s="342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35"/>
      <c r="W281" s="235"/>
      <c r="X281" s="235"/>
      <c r="Y281" s="235"/>
      <c r="Z281" s="235"/>
    </row>
    <row r="282">
      <c r="A282" s="235"/>
      <c r="B282" s="235"/>
      <c r="C282" s="342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35"/>
      <c r="W282" s="235"/>
      <c r="X282" s="235"/>
      <c r="Y282" s="235"/>
      <c r="Z282" s="235"/>
    </row>
    <row r="283">
      <c r="A283" s="235"/>
      <c r="B283" s="235"/>
      <c r="C283" s="342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</row>
    <row r="284">
      <c r="A284" s="235"/>
      <c r="B284" s="235"/>
      <c r="C284" s="342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35"/>
      <c r="W284" s="235"/>
      <c r="X284" s="235"/>
      <c r="Y284" s="235"/>
      <c r="Z284" s="235"/>
    </row>
    <row r="285">
      <c r="A285" s="235"/>
      <c r="B285" s="235"/>
      <c r="C285" s="342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  <c r="Z285" s="235"/>
    </row>
    <row r="286">
      <c r="A286" s="235"/>
      <c r="B286" s="235"/>
      <c r="C286" s="342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  <c r="Z286" s="235"/>
    </row>
    <row r="287">
      <c r="A287" s="235"/>
      <c r="B287" s="235"/>
      <c r="C287" s="342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35"/>
      <c r="W287" s="235"/>
      <c r="X287" s="235"/>
      <c r="Y287" s="235"/>
      <c r="Z287" s="235"/>
    </row>
    <row r="288">
      <c r="A288" s="235"/>
      <c r="B288" s="235"/>
      <c r="C288" s="342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  <c r="Z288" s="235"/>
    </row>
    <row r="289">
      <c r="A289" s="235"/>
      <c r="B289" s="235"/>
      <c r="C289" s="342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  <c r="Z289" s="235"/>
    </row>
    <row r="290">
      <c r="A290" s="235"/>
      <c r="B290" s="235"/>
      <c r="C290" s="342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  <c r="Z290" s="235"/>
    </row>
    <row r="291">
      <c r="A291" s="235"/>
      <c r="B291" s="235"/>
      <c r="C291" s="342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  <c r="Z291" s="235"/>
    </row>
    <row r="292">
      <c r="A292" s="235"/>
      <c r="B292" s="235"/>
      <c r="C292" s="342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35"/>
      <c r="W292" s="235"/>
      <c r="X292" s="235"/>
      <c r="Y292" s="235"/>
      <c r="Z292" s="235"/>
    </row>
    <row r="293">
      <c r="A293" s="235"/>
      <c r="B293" s="235"/>
      <c r="C293" s="342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35"/>
      <c r="W293" s="235"/>
      <c r="X293" s="235"/>
      <c r="Y293" s="235"/>
      <c r="Z293" s="235"/>
    </row>
    <row r="294">
      <c r="A294" s="235"/>
      <c r="B294" s="235"/>
      <c r="C294" s="342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  <c r="Z294" s="235"/>
    </row>
    <row r="295">
      <c r="A295" s="235"/>
      <c r="B295" s="235"/>
      <c r="C295" s="342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35"/>
      <c r="W295" s="235"/>
      <c r="X295" s="235"/>
      <c r="Y295" s="235"/>
      <c r="Z295" s="235"/>
    </row>
    <row r="296">
      <c r="A296" s="235"/>
      <c r="B296" s="235"/>
      <c r="C296" s="342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  <c r="X296" s="235"/>
      <c r="Y296" s="235"/>
      <c r="Z296" s="235"/>
    </row>
    <row r="297">
      <c r="A297" s="235"/>
      <c r="B297" s="235"/>
      <c r="C297" s="342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  <c r="Z297" s="235"/>
    </row>
    <row r="298">
      <c r="A298" s="235"/>
      <c r="B298" s="235"/>
      <c r="C298" s="342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35"/>
      <c r="W298" s="235"/>
      <c r="X298" s="235"/>
      <c r="Y298" s="235"/>
      <c r="Z298" s="235"/>
    </row>
    <row r="299">
      <c r="A299" s="235"/>
      <c r="B299" s="235"/>
      <c r="C299" s="342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35"/>
      <c r="W299" s="235"/>
      <c r="X299" s="235"/>
      <c r="Y299" s="235"/>
      <c r="Z299" s="235"/>
    </row>
    <row r="300">
      <c r="A300" s="235"/>
      <c r="B300" s="235"/>
      <c r="C300" s="342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5"/>
      <c r="Y300" s="235"/>
      <c r="Z300" s="235"/>
    </row>
    <row r="301">
      <c r="A301" s="235"/>
      <c r="B301" s="235"/>
      <c r="C301" s="342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35"/>
      <c r="W301" s="235"/>
      <c r="X301" s="235"/>
      <c r="Y301" s="235"/>
      <c r="Z301" s="235"/>
    </row>
    <row r="302">
      <c r="A302" s="235"/>
      <c r="B302" s="235"/>
      <c r="C302" s="342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35"/>
      <c r="W302" s="235"/>
      <c r="X302" s="235"/>
      <c r="Y302" s="235"/>
      <c r="Z302" s="235"/>
    </row>
    <row r="303">
      <c r="A303" s="235"/>
      <c r="B303" s="235"/>
      <c r="C303" s="342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35"/>
      <c r="W303" s="235"/>
      <c r="X303" s="235"/>
      <c r="Y303" s="235"/>
      <c r="Z303" s="235"/>
    </row>
    <row r="304">
      <c r="A304" s="235"/>
      <c r="B304" s="235"/>
      <c r="C304" s="342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35"/>
      <c r="W304" s="235"/>
      <c r="X304" s="235"/>
      <c r="Y304" s="235"/>
      <c r="Z304" s="235"/>
    </row>
    <row r="305">
      <c r="A305" s="235"/>
      <c r="B305" s="235"/>
      <c r="C305" s="342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35"/>
      <c r="W305" s="235"/>
      <c r="X305" s="235"/>
      <c r="Y305" s="235"/>
      <c r="Z305" s="235"/>
    </row>
    <row r="306">
      <c r="A306" s="235"/>
      <c r="B306" s="235"/>
      <c r="C306" s="342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35"/>
      <c r="W306" s="235"/>
      <c r="X306" s="235"/>
      <c r="Y306" s="235"/>
      <c r="Z306" s="235"/>
    </row>
    <row r="307">
      <c r="A307" s="235"/>
      <c r="B307" s="235"/>
      <c r="C307" s="342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35"/>
      <c r="W307" s="235"/>
      <c r="X307" s="235"/>
      <c r="Y307" s="235"/>
      <c r="Z307" s="235"/>
    </row>
    <row r="308">
      <c r="A308" s="235"/>
      <c r="B308" s="235"/>
      <c r="C308" s="342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  <c r="Z308" s="235"/>
    </row>
    <row r="309">
      <c r="A309" s="235"/>
      <c r="B309" s="235"/>
      <c r="C309" s="342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</row>
    <row r="310">
      <c r="A310" s="235"/>
      <c r="B310" s="235"/>
      <c r="C310" s="342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</row>
    <row r="311">
      <c r="A311" s="235"/>
      <c r="B311" s="235"/>
      <c r="C311" s="342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35"/>
      <c r="W311" s="235"/>
      <c r="X311" s="235"/>
      <c r="Y311" s="235"/>
      <c r="Z311" s="235"/>
    </row>
    <row r="312">
      <c r="A312" s="235"/>
      <c r="B312" s="235"/>
      <c r="C312" s="342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35"/>
      <c r="W312" s="235"/>
      <c r="X312" s="235"/>
      <c r="Y312" s="235"/>
      <c r="Z312" s="235"/>
    </row>
    <row r="313">
      <c r="A313" s="235"/>
      <c r="B313" s="235"/>
      <c r="C313" s="342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35"/>
      <c r="W313" s="235"/>
      <c r="X313" s="235"/>
      <c r="Y313" s="235"/>
      <c r="Z313" s="235"/>
    </row>
    <row r="314">
      <c r="A314" s="235"/>
      <c r="B314" s="235"/>
      <c r="C314" s="342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35"/>
      <c r="W314" s="235"/>
      <c r="X314" s="235"/>
      <c r="Y314" s="235"/>
      <c r="Z314" s="235"/>
    </row>
    <row r="315">
      <c r="A315" s="235"/>
      <c r="B315" s="235"/>
      <c r="C315" s="342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35"/>
      <c r="W315" s="235"/>
      <c r="X315" s="235"/>
      <c r="Y315" s="235"/>
      <c r="Z315" s="235"/>
    </row>
    <row r="316">
      <c r="A316" s="235"/>
      <c r="B316" s="235"/>
      <c r="C316" s="342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35"/>
      <c r="W316" s="235"/>
      <c r="X316" s="235"/>
      <c r="Y316" s="235"/>
      <c r="Z316" s="235"/>
    </row>
    <row r="317">
      <c r="A317" s="235"/>
      <c r="B317" s="235"/>
      <c r="C317" s="342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  <c r="Z317" s="235"/>
    </row>
    <row r="318">
      <c r="A318" s="235"/>
      <c r="B318" s="235"/>
      <c r="C318" s="342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  <c r="Z318" s="235"/>
    </row>
    <row r="319">
      <c r="A319" s="235"/>
      <c r="B319" s="235"/>
      <c r="C319" s="342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35"/>
      <c r="W319" s="235"/>
      <c r="X319" s="235"/>
      <c r="Y319" s="235"/>
      <c r="Z319" s="235"/>
    </row>
    <row r="320">
      <c r="A320" s="235"/>
      <c r="B320" s="235"/>
      <c r="C320" s="342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</row>
    <row r="321">
      <c r="A321" s="235"/>
      <c r="B321" s="235"/>
      <c r="C321" s="342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35"/>
      <c r="W321" s="235"/>
      <c r="X321" s="235"/>
      <c r="Y321" s="235"/>
      <c r="Z321" s="235"/>
    </row>
    <row r="322">
      <c r="A322" s="235"/>
      <c r="B322" s="235"/>
      <c r="C322" s="342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35"/>
      <c r="W322" s="235"/>
      <c r="X322" s="235"/>
      <c r="Y322" s="235"/>
      <c r="Z322" s="235"/>
    </row>
    <row r="323">
      <c r="A323" s="235"/>
      <c r="B323" s="235"/>
      <c r="C323" s="342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  <c r="Z323" s="235"/>
    </row>
    <row r="324">
      <c r="A324" s="235"/>
      <c r="B324" s="235"/>
      <c r="C324" s="342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35"/>
      <c r="W324" s="235"/>
      <c r="X324" s="235"/>
      <c r="Y324" s="235"/>
      <c r="Z324" s="235"/>
    </row>
    <row r="325">
      <c r="A325" s="235"/>
      <c r="B325" s="235"/>
      <c r="C325" s="342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35"/>
      <c r="W325" s="235"/>
      <c r="X325" s="235"/>
      <c r="Y325" s="235"/>
      <c r="Z325" s="235"/>
    </row>
    <row r="326">
      <c r="A326" s="235"/>
      <c r="B326" s="235"/>
      <c r="C326" s="342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35"/>
      <c r="W326" s="235"/>
      <c r="X326" s="235"/>
      <c r="Y326" s="235"/>
      <c r="Z326" s="235"/>
    </row>
    <row r="327">
      <c r="A327" s="235"/>
      <c r="B327" s="235"/>
      <c r="C327" s="342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35"/>
      <c r="W327" s="235"/>
      <c r="X327" s="235"/>
      <c r="Y327" s="235"/>
      <c r="Z327" s="235"/>
    </row>
    <row r="328">
      <c r="A328" s="235"/>
      <c r="B328" s="235"/>
      <c r="C328" s="342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35"/>
      <c r="W328" s="235"/>
      <c r="X328" s="235"/>
      <c r="Y328" s="235"/>
      <c r="Z328" s="235"/>
    </row>
    <row r="329">
      <c r="A329" s="235"/>
      <c r="B329" s="235"/>
      <c r="C329" s="342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35"/>
      <c r="W329" s="235"/>
      <c r="X329" s="235"/>
      <c r="Y329" s="235"/>
      <c r="Z329" s="235"/>
    </row>
    <row r="330">
      <c r="A330" s="235"/>
      <c r="B330" s="235"/>
      <c r="C330" s="342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35"/>
      <c r="W330" s="235"/>
      <c r="X330" s="235"/>
      <c r="Y330" s="235"/>
      <c r="Z330" s="235"/>
    </row>
    <row r="331">
      <c r="A331" s="235"/>
      <c r="B331" s="235"/>
      <c r="C331" s="342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35"/>
      <c r="W331" s="235"/>
      <c r="X331" s="235"/>
      <c r="Y331" s="235"/>
      <c r="Z331" s="235"/>
    </row>
    <row r="332">
      <c r="A332" s="235"/>
      <c r="B332" s="235"/>
      <c r="C332" s="342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35"/>
      <c r="W332" s="235"/>
      <c r="X332" s="235"/>
      <c r="Y332" s="235"/>
      <c r="Z332" s="235"/>
    </row>
    <row r="333">
      <c r="A333" s="235"/>
      <c r="B333" s="235"/>
      <c r="C333" s="342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35"/>
      <c r="W333" s="235"/>
      <c r="X333" s="235"/>
      <c r="Y333" s="235"/>
      <c r="Z333" s="235"/>
    </row>
    <row r="334">
      <c r="A334" s="235"/>
      <c r="B334" s="235"/>
      <c r="C334" s="342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35"/>
      <c r="W334" s="235"/>
      <c r="X334" s="235"/>
      <c r="Y334" s="235"/>
      <c r="Z334" s="235"/>
    </row>
    <row r="335">
      <c r="A335" s="235"/>
      <c r="B335" s="235"/>
      <c r="C335" s="342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  <c r="Z335" s="235"/>
    </row>
    <row r="336">
      <c r="A336" s="235"/>
      <c r="B336" s="235"/>
      <c r="C336" s="342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35"/>
      <c r="W336" s="235"/>
      <c r="X336" s="235"/>
      <c r="Y336" s="235"/>
      <c r="Z336" s="235"/>
    </row>
    <row r="337">
      <c r="A337" s="235"/>
      <c r="B337" s="235"/>
      <c r="C337" s="342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35"/>
      <c r="W337" s="235"/>
      <c r="X337" s="235"/>
      <c r="Y337" s="235"/>
      <c r="Z337" s="235"/>
    </row>
    <row r="338">
      <c r="A338" s="235"/>
      <c r="B338" s="235"/>
      <c r="C338" s="342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35"/>
      <c r="W338" s="235"/>
      <c r="X338" s="235"/>
      <c r="Y338" s="235"/>
      <c r="Z338" s="235"/>
    </row>
    <row r="339">
      <c r="A339" s="235"/>
      <c r="B339" s="235"/>
      <c r="C339" s="342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35"/>
      <c r="W339" s="235"/>
      <c r="X339" s="235"/>
      <c r="Y339" s="235"/>
      <c r="Z339" s="235"/>
    </row>
    <row r="340">
      <c r="A340" s="235"/>
      <c r="B340" s="235"/>
      <c r="C340" s="342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35"/>
      <c r="W340" s="235"/>
      <c r="X340" s="235"/>
      <c r="Y340" s="235"/>
      <c r="Z340" s="235"/>
    </row>
    <row r="341">
      <c r="A341" s="235"/>
      <c r="B341" s="235"/>
      <c r="C341" s="342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35"/>
      <c r="W341" s="235"/>
      <c r="X341" s="235"/>
      <c r="Y341" s="235"/>
      <c r="Z341" s="235"/>
    </row>
    <row r="342">
      <c r="A342" s="235"/>
      <c r="B342" s="235"/>
      <c r="C342" s="342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35"/>
      <c r="W342" s="235"/>
      <c r="X342" s="235"/>
      <c r="Y342" s="235"/>
      <c r="Z342" s="235"/>
    </row>
    <row r="343">
      <c r="A343" s="235"/>
      <c r="B343" s="235"/>
      <c r="C343" s="342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35"/>
      <c r="W343" s="235"/>
      <c r="X343" s="235"/>
      <c r="Y343" s="235"/>
      <c r="Z343" s="235"/>
    </row>
    <row r="344">
      <c r="A344" s="235"/>
      <c r="B344" s="235"/>
      <c r="C344" s="342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35"/>
      <c r="W344" s="235"/>
      <c r="X344" s="235"/>
      <c r="Y344" s="235"/>
      <c r="Z344" s="235"/>
    </row>
    <row r="345">
      <c r="A345" s="235"/>
      <c r="B345" s="235"/>
      <c r="C345" s="342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35"/>
      <c r="W345" s="235"/>
      <c r="X345" s="235"/>
      <c r="Y345" s="235"/>
      <c r="Z345" s="235"/>
    </row>
    <row r="346">
      <c r="A346" s="235"/>
      <c r="B346" s="235"/>
      <c r="C346" s="342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35"/>
      <c r="W346" s="235"/>
      <c r="X346" s="235"/>
      <c r="Y346" s="235"/>
      <c r="Z346" s="235"/>
    </row>
    <row r="347">
      <c r="A347" s="235"/>
      <c r="B347" s="235"/>
      <c r="C347" s="342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35"/>
      <c r="W347" s="235"/>
      <c r="X347" s="235"/>
      <c r="Y347" s="235"/>
      <c r="Z347" s="235"/>
    </row>
    <row r="348">
      <c r="A348" s="235"/>
      <c r="B348" s="235"/>
      <c r="C348" s="342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  <c r="Z348" s="235"/>
    </row>
    <row r="349">
      <c r="A349" s="235"/>
      <c r="B349" s="235"/>
      <c r="C349" s="342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  <c r="Z349" s="235"/>
    </row>
    <row r="350">
      <c r="A350" s="235"/>
      <c r="B350" s="235"/>
      <c r="C350" s="342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35"/>
      <c r="W350" s="235"/>
      <c r="X350" s="235"/>
      <c r="Y350" s="235"/>
      <c r="Z350" s="235"/>
    </row>
    <row r="351">
      <c r="A351" s="235"/>
      <c r="B351" s="235"/>
      <c r="C351" s="342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35"/>
      <c r="W351" s="235"/>
      <c r="X351" s="235"/>
      <c r="Y351" s="235"/>
      <c r="Z351" s="235"/>
    </row>
    <row r="352">
      <c r="A352" s="235"/>
      <c r="B352" s="235"/>
      <c r="C352" s="342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35"/>
      <c r="W352" s="235"/>
      <c r="X352" s="235"/>
      <c r="Y352" s="235"/>
      <c r="Z352" s="235"/>
    </row>
    <row r="353">
      <c r="A353" s="235"/>
      <c r="B353" s="235"/>
      <c r="C353" s="342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  <c r="Z353" s="235"/>
    </row>
    <row r="354">
      <c r="A354" s="235"/>
      <c r="B354" s="235"/>
      <c r="C354" s="342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35"/>
      <c r="W354" s="235"/>
      <c r="X354" s="235"/>
      <c r="Y354" s="235"/>
      <c r="Z354" s="235"/>
    </row>
    <row r="355">
      <c r="A355" s="235"/>
      <c r="B355" s="235"/>
      <c r="C355" s="342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  <c r="Z355" s="235"/>
    </row>
    <row r="356">
      <c r="A356" s="235"/>
      <c r="B356" s="235"/>
      <c r="C356" s="342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35"/>
      <c r="W356" s="235"/>
      <c r="X356" s="235"/>
      <c r="Y356" s="235"/>
      <c r="Z356" s="235"/>
    </row>
    <row r="357">
      <c r="A357" s="235"/>
      <c r="B357" s="235"/>
      <c r="C357" s="342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  <c r="Z357" s="235"/>
    </row>
    <row r="358">
      <c r="A358" s="235"/>
      <c r="B358" s="235"/>
      <c r="C358" s="342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35"/>
      <c r="W358" s="235"/>
      <c r="X358" s="235"/>
      <c r="Y358" s="235"/>
      <c r="Z358" s="235"/>
    </row>
    <row r="359">
      <c r="A359" s="235"/>
      <c r="B359" s="235"/>
      <c r="C359" s="342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  <c r="Z359" s="235"/>
    </row>
    <row r="360">
      <c r="A360" s="235"/>
      <c r="B360" s="235"/>
      <c r="C360" s="342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  <c r="Z360" s="235"/>
    </row>
    <row r="361">
      <c r="A361" s="235"/>
      <c r="B361" s="235"/>
      <c r="C361" s="342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</row>
    <row r="362">
      <c r="A362" s="235"/>
      <c r="B362" s="235"/>
      <c r="C362" s="342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35"/>
      <c r="W362" s="235"/>
      <c r="X362" s="235"/>
      <c r="Y362" s="235"/>
      <c r="Z362" s="235"/>
    </row>
    <row r="363">
      <c r="A363" s="235"/>
      <c r="B363" s="235"/>
      <c r="C363" s="342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  <c r="Z363" s="235"/>
    </row>
    <row r="364">
      <c r="A364" s="235"/>
      <c r="B364" s="235"/>
      <c r="C364" s="342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  <c r="Z364" s="235"/>
    </row>
    <row r="365">
      <c r="A365" s="235"/>
      <c r="B365" s="235"/>
      <c r="C365" s="342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35"/>
      <c r="W365" s="235"/>
      <c r="X365" s="235"/>
      <c r="Y365" s="235"/>
      <c r="Z365" s="235"/>
    </row>
    <row r="366">
      <c r="A366" s="235"/>
      <c r="B366" s="235"/>
      <c r="C366" s="342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  <c r="Z366" s="235"/>
    </row>
    <row r="367">
      <c r="A367" s="235"/>
      <c r="B367" s="235"/>
      <c r="C367" s="342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35"/>
      <c r="W367" s="235"/>
      <c r="X367" s="235"/>
      <c r="Y367" s="235"/>
      <c r="Z367" s="235"/>
    </row>
    <row r="368">
      <c r="A368" s="235"/>
      <c r="B368" s="235"/>
      <c r="C368" s="342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35"/>
      <c r="W368" s="235"/>
      <c r="X368" s="235"/>
      <c r="Y368" s="235"/>
      <c r="Z368" s="235"/>
    </row>
    <row r="369">
      <c r="A369" s="235"/>
      <c r="B369" s="235"/>
      <c r="C369" s="342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  <c r="Z369" s="235"/>
    </row>
    <row r="370">
      <c r="A370" s="235"/>
      <c r="B370" s="235"/>
      <c r="C370" s="342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35"/>
      <c r="W370" s="235"/>
      <c r="X370" s="235"/>
      <c r="Y370" s="235"/>
      <c r="Z370" s="235"/>
    </row>
    <row r="371">
      <c r="A371" s="235"/>
      <c r="B371" s="235"/>
      <c r="C371" s="342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</row>
    <row r="372">
      <c r="A372" s="235"/>
      <c r="B372" s="235"/>
      <c r="C372" s="342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  <c r="Z372" s="235"/>
    </row>
    <row r="373">
      <c r="A373" s="235"/>
      <c r="B373" s="235"/>
      <c r="C373" s="342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</row>
    <row r="374">
      <c r="A374" s="235"/>
      <c r="B374" s="235"/>
      <c r="C374" s="342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</row>
    <row r="375">
      <c r="A375" s="235"/>
      <c r="B375" s="235"/>
      <c r="C375" s="342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</row>
    <row r="376">
      <c r="A376" s="235"/>
      <c r="B376" s="235"/>
      <c r="C376" s="342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</row>
    <row r="377">
      <c r="A377" s="235"/>
      <c r="B377" s="235"/>
      <c r="C377" s="342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</row>
    <row r="378">
      <c r="A378" s="235"/>
      <c r="B378" s="235"/>
      <c r="C378" s="342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</row>
    <row r="379">
      <c r="A379" s="235"/>
      <c r="B379" s="235"/>
      <c r="C379" s="342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  <c r="Z379" s="235"/>
    </row>
    <row r="380">
      <c r="A380" s="235"/>
      <c r="B380" s="235"/>
      <c r="C380" s="342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35"/>
      <c r="W380" s="235"/>
      <c r="X380" s="235"/>
      <c r="Y380" s="235"/>
      <c r="Z380" s="235"/>
    </row>
    <row r="381">
      <c r="A381" s="235"/>
      <c r="B381" s="235"/>
      <c r="C381" s="342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  <c r="Z381" s="235"/>
    </row>
    <row r="382">
      <c r="A382" s="235"/>
      <c r="B382" s="235"/>
      <c r="C382" s="342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  <c r="Z382" s="235"/>
    </row>
    <row r="383">
      <c r="A383" s="235"/>
      <c r="B383" s="235"/>
      <c r="C383" s="342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35"/>
      <c r="W383" s="235"/>
      <c r="X383" s="235"/>
      <c r="Y383" s="235"/>
      <c r="Z383" s="235"/>
    </row>
    <row r="384">
      <c r="A384" s="235"/>
      <c r="B384" s="235"/>
      <c r="C384" s="342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</row>
    <row r="385">
      <c r="A385" s="235"/>
      <c r="B385" s="235"/>
      <c r="C385" s="342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</row>
    <row r="386">
      <c r="A386" s="235"/>
      <c r="B386" s="235"/>
      <c r="C386" s="342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</row>
    <row r="387">
      <c r="A387" s="235"/>
      <c r="B387" s="235"/>
      <c r="C387" s="342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</row>
    <row r="388">
      <c r="A388" s="235"/>
      <c r="B388" s="235"/>
      <c r="C388" s="342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  <c r="Z388" s="235"/>
    </row>
    <row r="389">
      <c r="A389" s="235"/>
      <c r="B389" s="235"/>
      <c r="C389" s="342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</row>
    <row r="390">
      <c r="A390" s="235"/>
      <c r="B390" s="235"/>
      <c r="C390" s="342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</row>
    <row r="391">
      <c r="A391" s="235"/>
      <c r="B391" s="235"/>
      <c r="C391" s="342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</row>
    <row r="392">
      <c r="A392" s="235"/>
      <c r="B392" s="235"/>
      <c r="C392" s="342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  <c r="Z392" s="235"/>
    </row>
    <row r="393">
      <c r="A393" s="235"/>
      <c r="B393" s="235"/>
      <c r="C393" s="342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</row>
    <row r="394">
      <c r="A394" s="235"/>
      <c r="B394" s="235"/>
      <c r="C394" s="342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</row>
    <row r="395">
      <c r="A395" s="235"/>
      <c r="B395" s="235"/>
      <c r="C395" s="342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</row>
    <row r="396">
      <c r="A396" s="235"/>
      <c r="B396" s="235"/>
      <c r="C396" s="342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</row>
    <row r="397">
      <c r="A397" s="235"/>
      <c r="B397" s="235"/>
      <c r="C397" s="342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</row>
    <row r="398">
      <c r="A398" s="235"/>
      <c r="B398" s="235"/>
      <c r="C398" s="342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</row>
    <row r="399">
      <c r="A399" s="235"/>
      <c r="B399" s="235"/>
      <c r="C399" s="342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</row>
    <row r="400">
      <c r="A400" s="235"/>
      <c r="B400" s="235"/>
      <c r="C400" s="342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</row>
    <row r="401">
      <c r="A401" s="235"/>
      <c r="B401" s="235"/>
      <c r="C401" s="342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  <c r="Z401" s="235"/>
    </row>
    <row r="402">
      <c r="A402" s="235"/>
      <c r="B402" s="235"/>
      <c r="C402" s="342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  <c r="Z402" s="235"/>
    </row>
    <row r="403">
      <c r="A403" s="235"/>
      <c r="B403" s="235"/>
      <c r="C403" s="342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  <c r="Z403" s="235"/>
    </row>
    <row r="404">
      <c r="A404" s="235"/>
      <c r="B404" s="235"/>
      <c r="C404" s="342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  <c r="Z404" s="235"/>
    </row>
    <row r="405">
      <c r="A405" s="235"/>
      <c r="B405" s="235"/>
      <c r="C405" s="342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</row>
    <row r="406">
      <c r="A406" s="235"/>
      <c r="B406" s="235"/>
      <c r="C406" s="342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35"/>
      <c r="W406" s="235"/>
      <c r="X406" s="235"/>
      <c r="Y406" s="235"/>
      <c r="Z406" s="235"/>
    </row>
    <row r="407">
      <c r="A407" s="235"/>
      <c r="B407" s="235"/>
      <c r="C407" s="342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  <c r="Z407" s="235"/>
    </row>
    <row r="408">
      <c r="A408" s="235"/>
      <c r="B408" s="235"/>
      <c r="C408" s="342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</row>
    <row r="409">
      <c r="A409" s="235"/>
      <c r="B409" s="235"/>
      <c r="C409" s="342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35"/>
      <c r="W409" s="235"/>
      <c r="X409" s="235"/>
      <c r="Y409" s="235"/>
      <c r="Z409" s="235"/>
    </row>
    <row r="410">
      <c r="A410" s="235"/>
      <c r="B410" s="235"/>
      <c r="C410" s="342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  <c r="Z410" s="235"/>
    </row>
    <row r="411">
      <c r="A411" s="235"/>
      <c r="B411" s="235"/>
      <c r="C411" s="342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35"/>
      <c r="W411" s="235"/>
      <c r="X411" s="235"/>
      <c r="Y411" s="235"/>
      <c r="Z411" s="235"/>
    </row>
    <row r="412">
      <c r="A412" s="235"/>
      <c r="B412" s="235"/>
      <c r="C412" s="342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  <c r="Z412" s="235"/>
    </row>
    <row r="413">
      <c r="A413" s="235"/>
      <c r="B413" s="235"/>
      <c r="C413" s="342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35"/>
      <c r="W413" s="235"/>
      <c r="X413" s="235"/>
      <c r="Y413" s="235"/>
      <c r="Z413" s="235"/>
    </row>
    <row r="414">
      <c r="A414" s="235"/>
      <c r="B414" s="235"/>
      <c r="C414" s="342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  <c r="Z414" s="235"/>
    </row>
    <row r="415">
      <c r="A415" s="235"/>
      <c r="B415" s="235"/>
      <c r="C415" s="342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  <c r="Z415" s="235"/>
    </row>
    <row r="416">
      <c r="A416" s="235"/>
      <c r="B416" s="235"/>
      <c r="C416" s="342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35"/>
      <c r="W416" s="235"/>
      <c r="X416" s="235"/>
      <c r="Y416" s="235"/>
      <c r="Z416" s="235"/>
    </row>
    <row r="417">
      <c r="A417" s="235"/>
      <c r="B417" s="235"/>
      <c r="C417" s="342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  <c r="Z417" s="235"/>
    </row>
    <row r="418">
      <c r="A418" s="235"/>
      <c r="B418" s="235"/>
      <c r="C418" s="342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  <c r="Z418" s="235"/>
    </row>
    <row r="419">
      <c r="A419" s="235"/>
      <c r="B419" s="235"/>
      <c r="C419" s="342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35"/>
      <c r="W419" s="235"/>
      <c r="X419" s="235"/>
      <c r="Y419" s="235"/>
      <c r="Z419" s="235"/>
    </row>
    <row r="420">
      <c r="A420" s="235"/>
      <c r="B420" s="235"/>
      <c r="C420" s="342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  <c r="Z420" s="235"/>
    </row>
    <row r="421">
      <c r="A421" s="235"/>
      <c r="B421" s="235"/>
      <c r="C421" s="342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  <c r="Z421" s="235"/>
    </row>
    <row r="422">
      <c r="A422" s="235"/>
      <c r="B422" s="235"/>
      <c r="C422" s="342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  <c r="Z422" s="235"/>
    </row>
    <row r="423">
      <c r="A423" s="235"/>
      <c r="B423" s="235"/>
      <c r="C423" s="342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35"/>
      <c r="W423" s="235"/>
      <c r="X423" s="235"/>
      <c r="Y423" s="235"/>
      <c r="Z423" s="235"/>
    </row>
    <row r="424">
      <c r="A424" s="235"/>
      <c r="B424" s="235"/>
      <c r="C424" s="342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  <c r="Z424" s="235"/>
    </row>
    <row r="425">
      <c r="A425" s="235"/>
      <c r="B425" s="235"/>
      <c r="C425" s="342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  <c r="Z425" s="235"/>
    </row>
    <row r="426">
      <c r="A426" s="235"/>
      <c r="B426" s="235"/>
      <c r="C426" s="342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  <c r="Z426" s="235"/>
    </row>
    <row r="427">
      <c r="A427" s="235"/>
      <c r="B427" s="235"/>
      <c r="C427" s="342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35"/>
      <c r="W427" s="235"/>
      <c r="X427" s="235"/>
      <c r="Y427" s="235"/>
      <c r="Z427" s="235"/>
    </row>
    <row r="428">
      <c r="A428" s="235"/>
      <c r="B428" s="235"/>
      <c r="C428" s="342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  <c r="Z428" s="235"/>
    </row>
    <row r="429">
      <c r="A429" s="235"/>
      <c r="B429" s="235"/>
      <c r="C429" s="342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35"/>
      <c r="W429" s="235"/>
      <c r="X429" s="235"/>
      <c r="Y429" s="235"/>
      <c r="Z429" s="235"/>
    </row>
    <row r="430">
      <c r="A430" s="235"/>
      <c r="B430" s="235"/>
      <c r="C430" s="342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  <c r="Z430" s="235"/>
    </row>
    <row r="431">
      <c r="A431" s="235"/>
      <c r="B431" s="235"/>
      <c r="C431" s="342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35"/>
      <c r="W431" s="235"/>
      <c r="X431" s="235"/>
      <c r="Y431" s="235"/>
      <c r="Z431" s="235"/>
    </row>
    <row r="432">
      <c r="A432" s="235"/>
      <c r="B432" s="235"/>
      <c r="C432" s="342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  <c r="Z432" s="235"/>
    </row>
    <row r="433">
      <c r="A433" s="235"/>
      <c r="B433" s="235"/>
      <c r="C433" s="342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</row>
    <row r="434">
      <c r="A434" s="235"/>
      <c r="B434" s="235"/>
      <c r="C434" s="342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</row>
    <row r="435">
      <c r="A435" s="235"/>
      <c r="B435" s="235"/>
      <c r="C435" s="342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</row>
    <row r="436">
      <c r="A436" s="235"/>
      <c r="B436" s="235"/>
      <c r="C436" s="342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</row>
    <row r="437">
      <c r="A437" s="235"/>
      <c r="B437" s="235"/>
      <c r="C437" s="342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</row>
    <row r="438">
      <c r="A438" s="235"/>
      <c r="B438" s="235"/>
      <c r="C438" s="342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</row>
    <row r="439">
      <c r="A439" s="235"/>
      <c r="B439" s="235"/>
      <c r="C439" s="342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</row>
    <row r="440">
      <c r="A440" s="235"/>
      <c r="B440" s="235"/>
      <c r="C440" s="342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</row>
    <row r="441">
      <c r="A441" s="235"/>
      <c r="B441" s="235"/>
      <c r="C441" s="342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</row>
    <row r="442">
      <c r="A442" s="235"/>
      <c r="B442" s="235"/>
      <c r="C442" s="342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</row>
    <row r="443">
      <c r="A443" s="235"/>
      <c r="B443" s="235"/>
      <c r="C443" s="342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</row>
    <row r="444">
      <c r="A444" s="235"/>
      <c r="B444" s="235"/>
      <c r="C444" s="342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</row>
    <row r="445">
      <c r="A445" s="235"/>
      <c r="B445" s="235"/>
      <c r="C445" s="342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</row>
    <row r="446">
      <c r="A446" s="235"/>
      <c r="B446" s="235"/>
      <c r="C446" s="342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  <c r="Z446" s="235"/>
    </row>
    <row r="447">
      <c r="A447" s="235"/>
      <c r="B447" s="235"/>
      <c r="C447" s="342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35"/>
      <c r="W447" s="235"/>
      <c r="X447" s="235"/>
      <c r="Y447" s="235"/>
      <c r="Z447" s="235"/>
    </row>
    <row r="448">
      <c r="A448" s="235"/>
      <c r="B448" s="235"/>
      <c r="C448" s="342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35"/>
      <c r="W448" s="235"/>
      <c r="X448" s="235"/>
      <c r="Y448" s="235"/>
      <c r="Z448" s="235"/>
    </row>
    <row r="449">
      <c r="A449" s="235"/>
      <c r="B449" s="235"/>
      <c r="C449" s="342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  <c r="Z449" s="235"/>
    </row>
    <row r="450">
      <c r="A450" s="235"/>
      <c r="B450" s="235"/>
      <c r="C450" s="342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</row>
    <row r="451">
      <c r="A451" s="235"/>
      <c r="B451" s="235"/>
      <c r="C451" s="342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  <c r="Z451" s="235"/>
    </row>
    <row r="452">
      <c r="A452" s="235"/>
      <c r="B452" s="235"/>
      <c r="C452" s="342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  <c r="Z452" s="235"/>
    </row>
    <row r="453">
      <c r="A453" s="235"/>
      <c r="B453" s="235"/>
      <c r="C453" s="342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35"/>
      <c r="W453" s="235"/>
      <c r="X453" s="235"/>
      <c r="Y453" s="235"/>
      <c r="Z453" s="235"/>
    </row>
    <row r="454">
      <c r="A454" s="235"/>
      <c r="B454" s="235"/>
      <c r="C454" s="342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  <c r="Z454" s="235"/>
    </row>
    <row r="455">
      <c r="A455" s="235"/>
      <c r="B455" s="235"/>
      <c r="C455" s="342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  <c r="Z455" s="235"/>
    </row>
    <row r="456">
      <c r="A456" s="235"/>
      <c r="B456" s="235"/>
      <c r="C456" s="342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35"/>
      <c r="W456" s="235"/>
      <c r="X456" s="235"/>
      <c r="Y456" s="235"/>
      <c r="Z456" s="235"/>
    </row>
    <row r="457">
      <c r="A457" s="235"/>
      <c r="B457" s="235"/>
      <c r="C457" s="342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  <c r="Z457" s="235"/>
    </row>
    <row r="458">
      <c r="A458" s="235"/>
      <c r="B458" s="235"/>
      <c r="C458" s="342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35"/>
      <c r="W458" s="235"/>
      <c r="X458" s="235"/>
      <c r="Y458" s="235"/>
      <c r="Z458" s="235"/>
    </row>
    <row r="459">
      <c r="A459" s="235"/>
      <c r="B459" s="235"/>
      <c r="C459" s="342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  <c r="Z459" s="235"/>
    </row>
    <row r="460">
      <c r="A460" s="235"/>
      <c r="B460" s="235"/>
      <c r="C460" s="342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  <c r="Z460" s="235"/>
    </row>
    <row r="461">
      <c r="A461" s="235"/>
      <c r="B461" s="235"/>
      <c r="C461" s="342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  <c r="Z461" s="235"/>
    </row>
    <row r="462">
      <c r="A462" s="235"/>
      <c r="B462" s="235"/>
      <c r="C462" s="342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  <c r="Z462" s="235"/>
    </row>
    <row r="463">
      <c r="A463" s="235"/>
      <c r="B463" s="235"/>
      <c r="C463" s="342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  <c r="Z463" s="235"/>
    </row>
    <row r="464">
      <c r="A464" s="235"/>
      <c r="B464" s="235"/>
      <c r="C464" s="342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  <c r="Z464" s="235"/>
    </row>
    <row r="465">
      <c r="A465" s="235"/>
      <c r="B465" s="235"/>
      <c r="C465" s="342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35"/>
      <c r="W465" s="235"/>
      <c r="X465" s="235"/>
      <c r="Y465" s="235"/>
      <c r="Z465" s="235"/>
    </row>
    <row r="466">
      <c r="A466" s="235"/>
      <c r="B466" s="235"/>
      <c r="C466" s="342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35"/>
      <c r="W466" s="235"/>
      <c r="X466" s="235"/>
      <c r="Y466" s="235"/>
      <c r="Z466" s="235"/>
    </row>
    <row r="467">
      <c r="A467" s="235"/>
      <c r="B467" s="235"/>
      <c r="C467" s="342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  <c r="Z467" s="235"/>
    </row>
    <row r="468">
      <c r="A468" s="235"/>
      <c r="B468" s="235"/>
      <c r="C468" s="342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  <c r="Z468" s="235"/>
    </row>
    <row r="469">
      <c r="A469" s="235"/>
      <c r="B469" s="235"/>
      <c r="C469" s="342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  <c r="Z469" s="235"/>
    </row>
    <row r="470">
      <c r="A470" s="235"/>
      <c r="B470" s="235"/>
      <c r="C470" s="342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  <c r="Z470" s="235"/>
    </row>
    <row r="471">
      <c r="A471" s="235"/>
      <c r="B471" s="235"/>
      <c r="C471" s="342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  <c r="Z471" s="235"/>
    </row>
    <row r="472">
      <c r="A472" s="235"/>
      <c r="B472" s="235"/>
      <c r="C472" s="342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  <c r="Z472" s="235"/>
    </row>
    <row r="473">
      <c r="A473" s="235"/>
      <c r="B473" s="235"/>
      <c r="C473" s="342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  <c r="Z473" s="235"/>
    </row>
    <row r="474">
      <c r="A474" s="235"/>
      <c r="B474" s="235"/>
      <c r="C474" s="342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</row>
    <row r="475">
      <c r="A475" s="235"/>
      <c r="B475" s="235"/>
      <c r="C475" s="342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5"/>
      <c r="Y475" s="235"/>
      <c r="Z475" s="235"/>
    </row>
    <row r="476">
      <c r="A476" s="235"/>
      <c r="B476" s="235"/>
      <c r="C476" s="342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5"/>
      <c r="Y476" s="235"/>
      <c r="Z476" s="235"/>
    </row>
    <row r="477">
      <c r="A477" s="235"/>
      <c r="B477" s="235"/>
      <c r="C477" s="342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5"/>
      <c r="Y477" s="235"/>
      <c r="Z477" s="235"/>
    </row>
    <row r="478">
      <c r="A478" s="235"/>
      <c r="B478" s="235"/>
      <c r="C478" s="342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  <c r="Z478" s="235"/>
    </row>
    <row r="479">
      <c r="A479" s="235"/>
      <c r="B479" s="235"/>
      <c r="C479" s="342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  <c r="Z479" s="235"/>
    </row>
    <row r="480">
      <c r="A480" s="235"/>
      <c r="B480" s="235"/>
      <c r="C480" s="342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  <c r="Z480" s="235"/>
    </row>
    <row r="481">
      <c r="A481" s="235"/>
      <c r="B481" s="235"/>
      <c r="C481" s="342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35"/>
      <c r="W481" s="235"/>
      <c r="X481" s="235"/>
      <c r="Y481" s="235"/>
      <c r="Z481" s="235"/>
    </row>
    <row r="482">
      <c r="A482" s="235"/>
      <c r="B482" s="235"/>
      <c r="C482" s="342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35"/>
      <c r="W482" s="235"/>
      <c r="X482" s="235"/>
      <c r="Y482" s="235"/>
      <c r="Z482" s="235"/>
    </row>
    <row r="483">
      <c r="A483" s="235"/>
      <c r="B483" s="235"/>
      <c r="C483" s="342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  <c r="Z483" s="235"/>
    </row>
    <row r="484">
      <c r="A484" s="235"/>
      <c r="B484" s="235"/>
      <c r="C484" s="342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  <c r="Z484" s="235"/>
    </row>
    <row r="485">
      <c r="A485" s="235"/>
      <c r="B485" s="235"/>
      <c r="C485" s="342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35"/>
      <c r="W485" s="235"/>
      <c r="X485" s="235"/>
      <c r="Y485" s="235"/>
      <c r="Z485" s="235"/>
    </row>
    <row r="486">
      <c r="A486" s="235"/>
      <c r="B486" s="235"/>
      <c r="C486" s="342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35"/>
      <c r="W486" s="235"/>
      <c r="X486" s="235"/>
      <c r="Y486" s="235"/>
      <c r="Z486" s="235"/>
    </row>
    <row r="487">
      <c r="A487" s="235"/>
      <c r="B487" s="235"/>
      <c r="C487" s="342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35"/>
      <c r="W487" s="235"/>
      <c r="X487" s="235"/>
      <c r="Y487" s="235"/>
      <c r="Z487" s="235"/>
    </row>
    <row r="488">
      <c r="A488" s="235"/>
      <c r="B488" s="235"/>
      <c r="C488" s="342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  <c r="Z488" s="235"/>
    </row>
    <row r="489">
      <c r="A489" s="235"/>
      <c r="B489" s="235"/>
      <c r="C489" s="342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  <c r="Z489" s="235"/>
    </row>
    <row r="490">
      <c r="A490" s="235"/>
      <c r="B490" s="235"/>
      <c r="C490" s="342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  <c r="Z490" s="235"/>
    </row>
    <row r="491">
      <c r="A491" s="235"/>
      <c r="B491" s="235"/>
      <c r="C491" s="342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  <c r="Z491" s="235"/>
    </row>
    <row r="492">
      <c r="A492" s="235"/>
      <c r="B492" s="235"/>
      <c r="C492" s="342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  <c r="Z492" s="235"/>
    </row>
    <row r="493">
      <c r="A493" s="235"/>
      <c r="B493" s="235"/>
      <c r="C493" s="342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  <c r="Z493" s="235"/>
    </row>
    <row r="494">
      <c r="A494" s="235"/>
      <c r="B494" s="235"/>
      <c r="C494" s="342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  <c r="Z494" s="235"/>
    </row>
    <row r="495">
      <c r="A495" s="235"/>
      <c r="B495" s="235"/>
      <c r="C495" s="342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  <c r="Z495" s="235"/>
    </row>
    <row r="496">
      <c r="A496" s="235"/>
      <c r="B496" s="235"/>
      <c r="C496" s="342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35"/>
      <c r="W496" s="235"/>
      <c r="X496" s="235"/>
      <c r="Y496" s="235"/>
      <c r="Z496" s="235"/>
    </row>
    <row r="497">
      <c r="A497" s="235"/>
      <c r="B497" s="235"/>
      <c r="C497" s="342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5"/>
      <c r="Z497" s="235"/>
    </row>
    <row r="498">
      <c r="A498" s="235"/>
      <c r="B498" s="235"/>
      <c r="C498" s="342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  <c r="Z498" s="235"/>
    </row>
    <row r="499">
      <c r="A499" s="235"/>
      <c r="B499" s="235"/>
      <c r="C499" s="342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35"/>
      <c r="W499" s="235"/>
      <c r="X499" s="235"/>
      <c r="Y499" s="235"/>
      <c r="Z499" s="235"/>
    </row>
    <row r="500">
      <c r="A500" s="235"/>
      <c r="B500" s="235"/>
      <c r="C500" s="342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  <c r="Z500" s="235"/>
    </row>
    <row r="501">
      <c r="A501" s="235"/>
      <c r="B501" s="235"/>
      <c r="C501" s="342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35"/>
      <c r="W501" s="235"/>
      <c r="X501" s="235"/>
      <c r="Y501" s="235"/>
      <c r="Z501" s="235"/>
    </row>
    <row r="502">
      <c r="A502" s="235"/>
      <c r="B502" s="235"/>
      <c r="C502" s="342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  <c r="Z502" s="235"/>
    </row>
    <row r="503">
      <c r="A503" s="235"/>
      <c r="B503" s="235"/>
      <c r="C503" s="342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  <c r="Z503" s="235"/>
    </row>
    <row r="504">
      <c r="A504" s="235"/>
      <c r="B504" s="235"/>
      <c r="C504" s="342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</row>
    <row r="505">
      <c r="A505" s="235"/>
      <c r="B505" s="235"/>
      <c r="C505" s="342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35"/>
      <c r="W505" s="235"/>
      <c r="X505" s="235"/>
      <c r="Y505" s="235"/>
      <c r="Z505" s="235"/>
    </row>
    <row r="506">
      <c r="A506" s="235"/>
      <c r="B506" s="235"/>
      <c r="C506" s="342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35"/>
      <c r="W506" s="235"/>
      <c r="X506" s="235"/>
      <c r="Y506" s="235"/>
      <c r="Z506" s="235"/>
    </row>
    <row r="507">
      <c r="A507" s="235"/>
      <c r="B507" s="235"/>
      <c r="C507" s="342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35"/>
      <c r="W507" s="235"/>
      <c r="X507" s="235"/>
      <c r="Y507" s="235"/>
      <c r="Z507" s="235"/>
    </row>
    <row r="508">
      <c r="A508" s="235"/>
      <c r="B508" s="235"/>
      <c r="C508" s="342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35"/>
      <c r="W508" s="235"/>
      <c r="X508" s="235"/>
      <c r="Y508" s="235"/>
      <c r="Z508" s="235"/>
    </row>
    <row r="509">
      <c r="A509" s="235"/>
      <c r="B509" s="235"/>
      <c r="C509" s="342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35"/>
      <c r="W509" s="235"/>
      <c r="X509" s="235"/>
      <c r="Y509" s="235"/>
      <c r="Z509" s="235"/>
    </row>
    <row r="510">
      <c r="A510" s="235"/>
      <c r="B510" s="235"/>
      <c r="C510" s="342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35"/>
      <c r="W510" s="235"/>
      <c r="X510" s="235"/>
      <c r="Y510" s="235"/>
      <c r="Z510" s="235"/>
    </row>
    <row r="511">
      <c r="A511" s="235"/>
      <c r="B511" s="235"/>
      <c r="C511" s="342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</row>
    <row r="512">
      <c r="A512" s="235"/>
      <c r="B512" s="235"/>
      <c r="C512" s="342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35"/>
      <c r="W512" s="235"/>
      <c r="X512" s="235"/>
      <c r="Y512" s="235"/>
      <c r="Z512" s="235"/>
    </row>
    <row r="513">
      <c r="A513" s="235"/>
      <c r="B513" s="235"/>
      <c r="C513" s="342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35"/>
      <c r="W513" s="235"/>
      <c r="X513" s="235"/>
      <c r="Y513" s="235"/>
      <c r="Z513" s="235"/>
    </row>
    <row r="514">
      <c r="A514" s="235"/>
      <c r="B514" s="235"/>
      <c r="C514" s="342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35"/>
      <c r="W514" s="235"/>
      <c r="X514" s="235"/>
      <c r="Y514" s="235"/>
      <c r="Z514" s="235"/>
    </row>
    <row r="515">
      <c r="A515" s="235"/>
      <c r="B515" s="235"/>
      <c r="C515" s="342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35"/>
      <c r="W515" s="235"/>
      <c r="X515" s="235"/>
      <c r="Y515" s="235"/>
      <c r="Z515" s="235"/>
    </row>
    <row r="516">
      <c r="A516" s="235"/>
      <c r="B516" s="235"/>
      <c r="C516" s="342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35"/>
      <c r="W516" s="235"/>
      <c r="X516" s="235"/>
      <c r="Y516" s="235"/>
      <c r="Z516" s="235"/>
    </row>
    <row r="517">
      <c r="A517" s="235"/>
      <c r="B517" s="235"/>
      <c r="C517" s="342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35"/>
      <c r="W517" s="235"/>
      <c r="X517" s="235"/>
      <c r="Y517" s="235"/>
      <c r="Z517" s="235"/>
    </row>
    <row r="518">
      <c r="A518" s="235"/>
      <c r="B518" s="235"/>
      <c r="C518" s="342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35"/>
      <c r="W518" s="235"/>
      <c r="X518" s="235"/>
      <c r="Y518" s="235"/>
      <c r="Z518" s="235"/>
    </row>
    <row r="519">
      <c r="A519" s="235"/>
      <c r="B519" s="235"/>
      <c r="C519" s="342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35"/>
      <c r="W519" s="235"/>
      <c r="X519" s="235"/>
      <c r="Y519" s="235"/>
      <c r="Z519" s="235"/>
    </row>
    <row r="520">
      <c r="A520" s="235"/>
      <c r="B520" s="235"/>
      <c r="C520" s="342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35"/>
      <c r="W520" s="235"/>
      <c r="X520" s="235"/>
      <c r="Y520" s="235"/>
      <c r="Z520" s="235"/>
    </row>
    <row r="521">
      <c r="A521" s="235"/>
      <c r="B521" s="235"/>
      <c r="C521" s="342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35"/>
      <c r="W521" s="235"/>
      <c r="X521" s="235"/>
      <c r="Y521" s="235"/>
      <c r="Z521" s="235"/>
    </row>
    <row r="522">
      <c r="A522" s="235"/>
      <c r="B522" s="235"/>
      <c r="C522" s="342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35"/>
      <c r="W522" s="235"/>
      <c r="X522" s="235"/>
      <c r="Y522" s="235"/>
      <c r="Z522" s="235"/>
    </row>
    <row r="523">
      <c r="A523" s="235"/>
      <c r="B523" s="235"/>
      <c r="C523" s="342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35"/>
      <c r="W523" s="235"/>
      <c r="X523" s="235"/>
      <c r="Y523" s="235"/>
      <c r="Z523" s="235"/>
    </row>
    <row r="524">
      <c r="A524" s="235"/>
      <c r="B524" s="235"/>
      <c r="C524" s="342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35"/>
      <c r="W524" s="235"/>
      <c r="X524" s="235"/>
      <c r="Y524" s="235"/>
      <c r="Z524" s="235"/>
    </row>
    <row r="525">
      <c r="A525" s="235"/>
      <c r="B525" s="235"/>
      <c r="C525" s="342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35"/>
      <c r="W525" s="235"/>
      <c r="X525" s="235"/>
      <c r="Y525" s="235"/>
      <c r="Z525" s="235"/>
    </row>
    <row r="526">
      <c r="A526" s="235"/>
      <c r="B526" s="235"/>
      <c r="C526" s="342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35"/>
      <c r="W526" s="235"/>
      <c r="X526" s="235"/>
      <c r="Y526" s="235"/>
      <c r="Z526" s="235"/>
    </row>
    <row r="527">
      <c r="A527" s="235"/>
      <c r="B527" s="235"/>
      <c r="C527" s="342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35"/>
      <c r="W527" s="235"/>
      <c r="X527" s="235"/>
      <c r="Y527" s="235"/>
      <c r="Z527" s="235"/>
    </row>
    <row r="528">
      <c r="A528" s="235"/>
      <c r="B528" s="235"/>
      <c r="C528" s="342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35"/>
      <c r="W528" s="235"/>
      <c r="X528" s="235"/>
      <c r="Y528" s="235"/>
      <c r="Z528" s="235"/>
    </row>
    <row r="529">
      <c r="A529" s="235"/>
      <c r="B529" s="235"/>
      <c r="C529" s="342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35"/>
      <c r="W529" s="235"/>
      <c r="X529" s="235"/>
      <c r="Y529" s="235"/>
      <c r="Z529" s="235"/>
    </row>
    <row r="530">
      <c r="A530" s="235"/>
      <c r="B530" s="235"/>
      <c r="C530" s="342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35"/>
      <c r="W530" s="235"/>
      <c r="X530" s="235"/>
      <c r="Y530" s="235"/>
      <c r="Z530" s="235"/>
    </row>
    <row r="531">
      <c r="A531" s="235"/>
      <c r="B531" s="235"/>
      <c r="C531" s="342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35"/>
      <c r="W531" s="235"/>
      <c r="X531" s="235"/>
      <c r="Y531" s="235"/>
      <c r="Z531" s="235"/>
    </row>
    <row r="532">
      <c r="A532" s="235"/>
      <c r="B532" s="235"/>
      <c r="C532" s="342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35"/>
      <c r="W532" s="235"/>
      <c r="X532" s="235"/>
      <c r="Y532" s="235"/>
      <c r="Z532" s="235"/>
    </row>
    <row r="533">
      <c r="A533" s="235"/>
      <c r="B533" s="235"/>
      <c r="C533" s="342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35"/>
      <c r="W533" s="235"/>
      <c r="X533" s="235"/>
      <c r="Y533" s="235"/>
      <c r="Z533" s="235"/>
    </row>
    <row r="534">
      <c r="A534" s="235"/>
      <c r="B534" s="235"/>
      <c r="C534" s="342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35"/>
      <c r="W534" s="235"/>
      <c r="X534" s="235"/>
      <c r="Y534" s="235"/>
      <c r="Z534" s="235"/>
    </row>
    <row r="535">
      <c r="A535" s="235"/>
      <c r="B535" s="235"/>
      <c r="C535" s="342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35"/>
      <c r="W535" s="235"/>
      <c r="X535" s="235"/>
      <c r="Y535" s="235"/>
      <c r="Z535" s="235"/>
    </row>
    <row r="536">
      <c r="A536" s="235"/>
      <c r="B536" s="235"/>
      <c r="C536" s="342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35"/>
      <c r="W536" s="235"/>
      <c r="X536" s="235"/>
      <c r="Y536" s="235"/>
      <c r="Z536" s="235"/>
    </row>
    <row r="537">
      <c r="A537" s="235"/>
      <c r="B537" s="235"/>
      <c r="C537" s="342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35"/>
      <c r="W537" s="235"/>
      <c r="X537" s="235"/>
      <c r="Y537" s="235"/>
      <c r="Z537" s="235"/>
    </row>
    <row r="538">
      <c r="A538" s="235"/>
      <c r="B538" s="235"/>
      <c r="C538" s="342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35"/>
      <c r="W538" s="235"/>
      <c r="X538" s="235"/>
      <c r="Y538" s="235"/>
      <c r="Z538" s="235"/>
    </row>
    <row r="539">
      <c r="A539" s="235"/>
      <c r="B539" s="235"/>
      <c r="C539" s="342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</row>
    <row r="540">
      <c r="A540" s="235"/>
      <c r="B540" s="235"/>
      <c r="C540" s="342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35"/>
      <c r="W540" s="235"/>
      <c r="X540" s="235"/>
      <c r="Y540" s="235"/>
      <c r="Z540" s="235"/>
    </row>
    <row r="541">
      <c r="A541" s="235"/>
      <c r="B541" s="235"/>
      <c r="C541" s="342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35"/>
      <c r="W541" s="235"/>
      <c r="X541" s="235"/>
      <c r="Y541" s="235"/>
      <c r="Z541" s="235"/>
    </row>
    <row r="542">
      <c r="A542" s="235"/>
      <c r="B542" s="235"/>
      <c r="C542" s="342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35"/>
      <c r="W542" s="235"/>
      <c r="X542" s="235"/>
      <c r="Y542" s="235"/>
      <c r="Z542" s="235"/>
    </row>
    <row r="543">
      <c r="A543" s="235"/>
      <c r="B543" s="235"/>
      <c r="C543" s="342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35"/>
      <c r="W543" s="235"/>
      <c r="X543" s="235"/>
      <c r="Y543" s="235"/>
      <c r="Z543" s="235"/>
    </row>
    <row r="544">
      <c r="A544" s="235"/>
      <c r="B544" s="235"/>
      <c r="C544" s="342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35"/>
      <c r="W544" s="235"/>
      <c r="X544" s="235"/>
      <c r="Y544" s="235"/>
      <c r="Z544" s="235"/>
    </row>
    <row r="545">
      <c r="A545" s="235"/>
      <c r="B545" s="235"/>
      <c r="C545" s="342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35"/>
      <c r="W545" s="235"/>
      <c r="X545" s="235"/>
      <c r="Y545" s="235"/>
      <c r="Z545" s="235"/>
    </row>
    <row r="546">
      <c r="A546" s="235"/>
      <c r="B546" s="235"/>
      <c r="C546" s="342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35"/>
      <c r="W546" s="235"/>
      <c r="X546" s="235"/>
      <c r="Y546" s="235"/>
      <c r="Z546" s="235"/>
    </row>
    <row r="547">
      <c r="A547" s="235"/>
      <c r="B547" s="235"/>
      <c r="C547" s="342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35"/>
      <c r="W547" s="235"/>
      <c r="X547" s="235"/>
      <c r="Y547" s="235"/>
      <c r="Z547" s="235"/>
    </row>
    <row r="548">
      <c r="A548" s="235"/>
      <c r="B548" s="235"/>
      <c r="C548" s="342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35"/>
      <c r="W548" s="235"/>
      <c r="X548" s="235"/>
      <c r="Y548" s="235"/>
      <c r="Z548" s="235"/>
    </row>
    <row r="549">
      <c r="A549" s="235"/>
      <c r="B549" s="235"/>
      <c r="C549" s="342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35"/>
      <c r="W549" s="235"/>
      <c r="X549" s="235"/>
      <c r="Y549" s="235"/>
      <c r="Z549" s="235"/>
    </row>
    <row r="550">
      <c r="A550" s="235"/>
      <c r="B550" s="235"/>
      <c r="C550" s="342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35"/>
      <c r="W550" s="235"/>
      <c r="X550" s="235"/>
      <c r="Y550" s="235"/>
      <c r="Z550" s="235"/>
    </row>
    <row r="551">
      <c r="A551" s="235"/>
      <c r="B551" s="235"/>
      <c r="C551" s="342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35"/>
      <c r="W551" s="235"/>
      <c r="X551" s="235"/>
      <c r="Y551" s="235"/>
      <c r="Z551" s="235"/>
    </row>
    <row r="552">
      <c r="A552" s="235"/>
      <c r="B552" s="235"/>
      <c r="C552" s="342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35"/>
      <c r="W552" s="235"/>
      <c r="X552" s="235"/>
      <c r="Y552" s="235"/>
      <c r="Z552" s="235"/>
    </row>
    <row r="553">
      <c r="A553" s="235"/>
      <c r="B553" s="235"/>
      <c r="C553" s="342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35"/>
      <c r="W553" s="235"/>
      <c r="X553" s="235"/>
      <c r="Y553" s="235"/>
      <c r="Z553" s="235"/>
    </row>
    <row r="554">
      <c r="A554" s="235"/>
      <c r="B554" s="235"/>
      <c r="C554" s="342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35"/>
      <c r="W554" s="235"/>
      <c r="X554" s="235"/>
      <c r="Y554" s="235"/>
      <c r="Z554" s="235"/>
    </row>
    <row r="555">
      <c r="A555" s="235"/>
      <c r="B555" s="235"/>
      <c r="C555" s="342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35"/>
      <c r="W555" s="235"/>
      <c r="X555" s="235"/>
      <c r="Y555" s="235"/>
      <c r="Z555" s="235"/>
    </row>
    <row r="556">
      <c r="A556" s="235"/>
      <c r="B556" s="235"/>
      <c r="C556" s="342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35"/>
      <c r="W556" s="235"/>
      <c r="X556" s="235"/>
      <c r="Y556" s="235"/>
      <c r="Z556" s="235"/>
    </row>
    <row r="557">
      <c r="A557" s="235"/>
      <c r="B557" s="235"/>
      <c r="C557" s="342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35"/>
      <c r="W557" s="235"/>
      <c r="X557" s="235"/>
      <c r="Y557" s="235"/>
      <c r="Z557" s="235"/>
    </row>
    <row r="558">
      <c r="A558" s="235"/>
      <c r="B558" s="235"/>
      <c r="C558" s="342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35"/>
      <c r="W558" s="235"/>
      <c r="X558" s="235"/>
      <c r="Y558" s="235"/>
      <c r="Z558" s="235"/>
    </row>
    <row r="559">
      <c r="A559" s="235"/>
      <c r="B559" s="235"/>
      <c r="C559" s="342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35"/>
      <c r="W559" s="235"/>
      <c r="X559" s="235"/>
      <c r="Y559" s="235"/>
      <c r="Z559" s="235"/>
    </row>
    <row r="560">
      <c r="A560" s="235"/>
      <c r="B560" s="235"/>
      <c r="C560" s="342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35"/>
      <c r="W560" s="235"/>
      <c r="X560" s="235"/>
      <c r="Y560" s="235"/>
      <c r="Z560" s="235"/>
    </row>
    <row r="561">
      <c r="A561" s="235"/>
      <c r="B561" s="235"/>
      <c r="C561" s="342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35"/>
      <c r="W561" s="235"/>
      <c r="X561" s="235"/>
      <c r="Y561" s="235"/>
      <c r="Z561" s="235"/>
    </row>
    <row r="562">
      <c r="A562" s="235"/>
      <c r="B562" s="235"/>
      <c r="C562" s="342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35"/>
      <c r="W562" s="235"/>
      <c r="X562" s="235"/>
      <c r="Y562" s="235"/>
      <c r="Z562" s="235"/>
    </row>
    <row r="563">
      <c r="A563" s="235"/>
      <c r="B563" s="235"/>
      <c r="C563" s="342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35"/>
      <c r="W563" s="235"/>
      <c r="X563" s="235"/>
      <c r="Y563" s="235"/>
      <c r="Z563" s="235"/>
    </row>
    <row r="564">
      <c r="A564" s="235"/>
      <c r="B564" s="235"/>
      <c r="C564" s="342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35"/>
      <c r="W564" s="235"/>
      <c r="X564" s="235"/>
      <c r="Y564" s="235"/>
      <c r="Z564" s="235"/>
    </row>
    <row r="565">
      <c r="A565" s="235"/>
      <c r="B565" s="235"/>
      <c r="C565" s="342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35"/>
      <c r="W565" s="235"/>
      <c r="X565" s="235"/>
      <c r="Y565" s="235"/>
      <c r="Z565" s="235"/>
    </row>
    <row r="566">
      <c r="A566" s="235"/>
      <c r="B566" s="235"/>
      <c r="C566" s="342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35"/>
      <c r="W566" s="235"/>
      <c r="X566" s="235"/>
      <c r="Y566" s="235"/>
      <c r="Z566" s="235"/>
    </row>
    <row r="567">
      <c r="A567" s="235"/>
      <c r="B567" s="235"/>
      <c r="C567" s="342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35"/>
      <c r="W567" s="235"/>
      <c r="X567" s="235"/>
      <c r="Y567" s="235"/>
      <c r="Z567" s="235"/>
    </row>
    <row r="568">
      <c r="A568" s="235"/>
      <c r="B568" s="235"/>
      <c r="C568" s="342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35"/>
      <c r="W568" s="235"/>
      <c r="X568" s="235"/>
      <c r="Y568" s="235"/>
      <c r="Z568" s="235"/>
    </row>
    <row r="569">
      <c r="A569" s="235"/>
      <c r="B569" s="235"/>
      <c r="C569" s="342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35"/>
      <c r="W569" s="235"/>
      <c r="X569" s="235"/>
      <c r="Y569" s="235"/>
      <c r="Z569" s="235"/>
    </row>
    <row r="570">
      <c r="A570" s="235"/>
      <c r="B570" s="235"/>
      <c r="C570" s="342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35"/>
      <c r="W570" s="235"/>
      <c r="X570" s="235"/>
      <c r="Y570" s="235"/>
      <c r="Z570" s="235"/>
    </row>
    <row r="571">
      <c r="A571" s="235"/>
      <c r="B571" s="235"/>
      <c r="C571" s="342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35"/>
      <c r="W571" s="235"/>
      <c r="X571" s="235"/>
      <c r="Y571" s="235"/>
      <c r="Z571" s="235"/>
    </row>
    <row r="572">
      <c r="A572" s="235"/>
      <c r="B572" s="235"/>
      <c r="C572" s="342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35"/>
      <c r="W572" s="235"/>
      <c r="X572" s="235"/>
      <c r="Y572" s="235"/>
      <c r="Z572" s="235"/>
    </row>
    <row r="573">
      <c r="A573" s="235"/>
      <c r="B573" s="235"/>
      <c r="C573" s="342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35"/>
      <c r="W573" s="235"/>
      <c r="X573" s="235"/>
      <c r="Y573" s="235"/>
      <c r="Z573" s="235"/>
    </row>
    <row r="574">
      <c r="A574" s="235"/>
      <c r="B574" s="235"/>
      <c r="C574" s="342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35"/>
      <c r="W574" s="235"/>
      <c r="X574" s="235"/>
      <c r="Y574" s="235"/>
      <c r="Z574" s="235"/>
    </row>
    <row r="575">
      <c r="A575" s="235"/>
      <c r="B575" s="235"/>
      <c r="C575" s="342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35"/>
      <c r="W575" s="235"/>
      <c r="X575" s="235"/>
      <c r="Y575" s="235"/>
      <c r="Z575" s="235"/>
    </row>
    <row r="576">
      <c r="A576" s="235"/>
      <c r="B576" s="235"/>
      <c r="C576" s="342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35"/>
      <c r="W576" s="235"/>
      <c r="X576" s="235"/>
      <c r="Y576" s="235"/>
      <c r="Z576" s="235"/>
    </row>
    <row r="577">
      <c r="A577" s="235"/>
      <c r="B577" s="235"/>
      <c r="C577" s="342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35"/>
      <c r="W577" s="235"/>
      <c r="X577" s="235"/>
      <c r="Y577" s="235"/>
      <c r="Z577" s="235"/>
    </row>
    <row r="578">
      <c r="A578" s="235"/>
      <c r="B578" s="235"/>
      <c r="C578" s="342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35"/>
      <c r="W578" s="235"/>
      <c r="X578" s="235"/>
      <c r="Y578" s="235"/>
      <c r="Z578" s="235"/>
    </row>
    <row r="579">
      <c r="A579" s="235"/>
      <c r="B579" s="235"/>
      <c r="C579" s="342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35"/>
      <c r="W579" s="235"/>
      <c r="X579" s="235"/>
      <c r="Y579" s="235"/>
      <c r="Z579" s="235"/>
    </row>
    <row r="580">
      <c r="A580" s="235"/>
      <c r="B580" s="235"/>
      <c r="C580" s="342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35"/>
      <c r="W580" s="235"/>
      <c r="X580" s="235"/>
      <c r="Y580" s="235"/>
      <c r="Z580" s="235"/>
    </row>
    <row r="581">
      <c r="A581" s="235"/>
      <c r="B581" s="235"/>
      <c r="C581" s="342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35"/>
      <c r="W581" s="235"/>
      <c r="X581" s="235"/>
      <c r="Y581" s="235"/>
      <c r="Z581" s="235"/>
    </row>
    <row r="582">
      <c r="A582" s="235"/>
      <c r="B582" s="235"/>
      <c r="C582" s="342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35"/>
      <c r="W582" s="235"/>
      <c r="X582" s="235"/>
      <c r="Y582" s="235"/>
      <c r="Z582" s="235"/>
    </row>
    <row r="583">
      <c r="A583" s="235"/>
      <c r="B583" s="235"/>
      <c r="C583" s="342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35"/>
      <c r="W583" s="235"/>
      <c r="X583" s="235"/>
      <c r="Y583" s="235"/>
      <c r="Z583" s="235"/>
    </row>
    <row r="584">
      <c r="A584" s="235"/>
      <c r="B584" s="235"/>
      <c r="C584" s="342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35"/>
      <c r="W584" s="235"/>
      <c r="X584" s="235"/>
      <c r="Y584" s="235"/>
      <c r="Z584" s="235"/>
    </row>
    <row r="585">
      <c r="A585" s="235"/>
      <c r="B585" s="235"/>
      <c r="C585" s="342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</row>
    <row r="586">
      <c r="A586" s="235"/>
      <c r="B586" s="235"/>
      <c r="C586" s="342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35"/>
      <c r="W586" s="235"/>
      <c r="X586" s="235"/>
      <c r="Y586" s="235"/>
      <c r="Z586" s="235"/>
    </row>
    <row r="587">
      <c r="A587" s="235"/>
      <c r="B587" s="235"/>
      <c r="C587" s="342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35"/>
      <c r="W587" s="235"/>
      <c r="X587" s="235"/>
      <c r="Y587" s="235"/>
      <c r="Z587" s="235"/>
    </row>
    <row r="588">
      <c r="A588" s="235"/>
      <c r="B588" s="235"/>
      <c r="C588" s="342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</row>
    <row r="589">
      <c r="A589" s="235"/>
      <c r="B589" s="235"/>
      <c r="C589" s="342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35"/>
      <c r="W589" s="235"/>
      <c r="X589" s="235"/>
      <c r="Y589" s="235"/>
      <c r="Z589" s="235"/>
    </row>
    <row r="590">
      <c r="A590" s="235"/>
      <c r="B590" s="235"/>
      <c r="C590" s="342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35"/>
      <c r="W590" s="235"/>
      <c r="X590" s="235"/>
      <c r="Y590" s="235"/>
      <c r="Z590" s="235"/>
    </row>
    <row r="591">
      <c r="A591" s="235"/>
      <c r="B591" s="235"/>
      <c r="C591" s="342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35"/>
      <c r="W591" s="235"/>
      <c r="X591" s="235"/>
      <c r="Y591" s="235"/>
      <c r="Z591" s="235"/>
    </row>
    <row r="592">
      <c r="A592" s="235"/>
      <c r="B592" s="235"/>
      <c r="C592" s="342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35"/>
      <c r="W592" s="235"/>
      <c r="X592" s="235"/>
      <c r="Y592" s="235"/>
      <c r="Z592" s="235"/>
    </row>
    <row r="593">
      <c r="A593" s="235"/>
      <c r="B593" s="235"/>
      <c r="C593" s="342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35"/>
      <c r="W593" s="235"/>
      <c r="X593" s="235"/>
      <c r="Y593" s="235"/>
      <c r="Z593" s="235"/>
    </row>
    <row r="594">
      <c r="A594" s="235"/>
      <c r="B594" s="235"/>
      <c r="C594" s="342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35"/>
      <c r="W594" s="235"/>
      <c r="X594" s="235"/>
      <c r="Y594" s="235"/>
      <c r="Z594" s="235"/>
    </row>
    <row r="595">
      <c r="A595" s="235"/>
      <c r="B595" s="235"/>
      <c r="C595" s="342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35"/>
      <c r="W595" s="235"/>
      <c r="X595" s="235"/>
      <c r="Y595" s="235"/>
      <c r="Z595" s="235"/>
    </row>
    <row r="596">
      <c r="A596" s="235"/>
      <c r="B596" s="235"/>
      <c r="C596" s="342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35"/>
      <c r="W596" s="235"/>
      <c r="X596" s="235"/>
      <c r="Y596" s="235"/>
      <c r="Z596" s="235"/>
    </row>
    <row r="597">
      <c r="A597" s="235"/>
      <c r="B597" s="235"/>
      <c r="C597" s="342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35"/>
      <c r="W597" s="235"/>
      <c r="X597" s="235"/>
      <c r="Y597" s="235"/>
      <c r="Z597" s="235"/>
    </row>
    <row r="598">
      <c r="A598" s="235"/>
      <c r="B598" s="235"/>
      <c r="C598" s="342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35"/>
      <c r="W598" s="235"/>
      <c r="X598" s="235"/>
      <c r="Y598" s="235"/>
      <c r="Z598" s="235"/>
    </row>
    <row r="599">
      <c r="A599" s="235"/>
      <c r="B599" s="235"/>
      <c r="C599" s="342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35"/>
      <c r="W599" s="235"/>
      <c r="X599" s="235"/>
      <c r="Y599" s="235"/>
      <c r="Z599" s="235"/>
    </row>
    <row r="600">
      <c r="A600" s="235"/>
      <c r="B600" s="235"/>
      <c r="C600" s="342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35"/>
      <c r="W600" s="235"/>
      <c r="X600" s="235"/>
      <c r="Y600" s="235"/>
      <c r="Z600" s="235"/>
    </row>
    <row r="601">
      <c r="A601" s="235"/>
      <c r="B601" s="235"/>
      <c r="C601" s="342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35"/>
      <c r="W601" s="235"/>
      <c r="X601" s="235"/>
      <c r="Y601" s="235"/>
      <c r="Z601" s="235"/>
    </row>
    <row r="602">
      <c r="A602" s="235"/>
      <c r="B602" s="235"/>
      <c r="C602" s="342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35"/>
      <c r="W602" s="235"/>
      <c r="X602" s="235"/>
      <c r="Y602" s="235"/>
      <c r="Z602" s="235"/>
    </row>
    <row r="603">
      <c r="A603" s="235"/>
      <c r="B603" s="235"/>
      <c r="C603" s="342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</row>
    <row r="604">
      <c r="A604" s="235"/>
      <c r="B604" s="235"/>
      <c r="C604" s="342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35"/>
      <c r="W604" s="235"/>
      <c r="X604" s="235"/>
      <c r="Y604" s="235"/>
      <c r="Z604" s="235"/>
    </row>
    <row r="605">
      <c r="A605" s="235"/>
      <c r="B605" s="235"/>
      <c r="C605" s="342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35"/>
      <c r="W605" s="235"/>
      <c r="X605" s="235"/>
      <c r="Y605" s="235"/>
      <c r="Z605" s="235"/>
    </row>
    <row r="606">
      <c r="A606" s="235"/>
      <c r="B606" s="235"/>
      <c r="C606" s="342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35"/>
      <c r="W606" s="235"/>
      <c r="X606" s="235"/>
      <c r="Y606" s="235"/>
      <c r="Z606" s="235"/>
    </row>
    <row r="607">
      <c r="A607" s="235"/>
      <c r="B607" s="235"/>
      <c r="C607" s="342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</row>
    <row r="608">
      <c r="A608" s="235"/>
      <c r="B608" s="235"/>
      <c r="C608" s="342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35"/>
      <c r="W608" s="235"/>
      <c r="X608" s="235"/>
      <c r="Y608" s="235"/>
      <c r="Z608" s="235"/>
    </row>
    <row r="609">
      <c r="A609" s="235"/>
      <c r="B609" s="235"/>
      <c r="C609" s="342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35"/>
      <c r="W609" s="235"/>
      <c r="X609" s="235"/>
      <c r="Y609" s="235"/>
      <c r="Z609" s="235"/>
    </row>
    <row r="610">
      <c r="A610" s="235"/>
      <c r="B610" s="235"/>
      <c r="C610" s="342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35"/>
      <c r="W610" s="235"/>
      <c r="X610" s="235"/>
      <c r="Y610" s="235"/>
      <c r="Z610" s="235"/>
    </row>
    <row r="611">
      <c r="A611" s="235"/>
      <c r="B611" s="235"/>
      <c r="C611" s="342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35"/>
      <c r="W611" s="235"/>
      <c r="X611" s="235"/>
      <c r="Y611" s="235"/>
      <c r="Z611" s="235"/>
    </row>
    <row r="612">
      <c r="A612" s="235"/>
      <c r="B612" s="235"/>
      <c r="C612" s="342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35"/>
      <c r="W612" s="235"/>
      <c r="X612" s="235"/>
      <c r="Y612" s="235"/>
      <c r="Z612" s="235"/>
    </row>
    <row r="613">
      <c r="A613" s="235"/>
      <c r="B613" s="235"/>
      <c r="C613" s="342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35"/>
      <c r="W613" s="235"/>
      <c r="X613" s="235"/>
      <c r="Y613" s="235"/>
      <c r="Z613" s="235"/>
    </row>
    <row r="614">
      <c r="A614" s="235"/>
      <c r="B614" s="235"/>
      <c r="C614" s="342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35"/>
      <c r="W614" s="235"/>
      <c r="X614" s="235"/>
      <c r="Y614" s="235"/>
      <c r="Z614" s="235"/>
    </row>
    <row r="615">
      <c r="A615" s="235"/>
      <c r="B615" s="235"/>
      <c r="C615" s="342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35"/>
      <c r="W615" s="235"/>
      <c r="X615" s="235"/>
      <c r="Y615" s="235"/>
      <c r="Z615" s="235"/>
    </row>
    <row r="616">
      <c r="A616" s="235"/>
      <c r="B616" s="235"/>
      <c r="C616" s="342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35"/>
      <c r="W616" s="235"/>
      <c r="X616" s="235"/>
      <c r="Y616" s="235"/>
      <c r="Z616" s="235"/>
    </row>
    <row r="617">
      <c r="A617" s="235"/>
      <c r="B617" s="235"/>
      <c r="C617" s="342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35"/>
      <c r="W617" s="235"/>
      <c r="X617" s="235"/>
      <c r="Y617" s="235"/>
      <c r="Z617" s="235"/>
    </row>
    <row r="618">
      <c r="A618" s="235"/>
      <c r="B618" s="235"/>
      <c r="C618" s="342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35"/>
      <c r="W618" s="235"/>
      <c r="X618" s="235"/>
      <c r="Y618" s="235"/>
      <c r="Z618" s="235"/>
    </row>
    <row r="619">
      <c r="A619" s="235"/>
      <c r="B619" s="235"/>
      <c r="C619" s="342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35"/>
      <c r="W619" s="235"/>
      <c r="X619" s="235"/>
      <c r="Y619" s="235"/>
      <c r="Z619" s="235"/>
    </row>
    <row r="620">
      <c r="A620" s="235"/>
      <c r="B620" s="235"/>
      <c r="C620" s="342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35"/>
      <c r="W620" s="235"/>
      <c r="X620" s="235"/>
      <c r="Y620" s="235"/>
      <c r="Z620" s="235"/>
    </row>
    <row r="621">
      <c r="A621" s="235"/>
      <c r="B621" s="235"/>
      <c r="C621" s="342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35"/>
      <c r="W621" s="235"/>
      <c r="X621" s="235"/>
      <c r="Y621" s="235"/>
      <c r="Z621" s="235"/>
    </row>
    <row r="622">
      <c r="A622" s="235"/>
      <c r="B622" s="235"/>
      <c r="C622" s="342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35"/>
      <c r="W622" s="235"/>
      <c r="X622" s="235"/>
      <c r="Y622" s="235"/>
      <c r="Z622" s="235"/>
    </row>
    <row r="623">
      <c r="A623" s="235"/>
      <c r="B623" s="235"/>
      <c r="C623" s="342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35"/>
      <c r="W623" s="235"/>
      <c r="X623" s="235"/>
      <c r="Y623" s="235"/>
      <c r="Z623" s="235"/>
    </row>
    <row r="624">
      <c r="A624" s="235"/>
      <c r="B624" s="235"/>
      <c r="C624" s="342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35"/>
      <c r="W624" s="235"/>
      <c r="X624" s="235"/>
      <c r="Y624" s="235"/>
      <c r="Z624" s="235"/>
    </row>
    <row r="625">
      <c r="A625" s="235"/>
      <c r="B625" s="235"/>
      <c r="C625" s="342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35"/>
      <c r="W625" s="235"/>
      <c r="X625" s="235"/>
      <c r="Y625" s="235"/>
      <c r="Z625" s="235"/>
    </row>
    <row r="626">
      <c r="A626" s="235"/>
      <c r="B626" s="235"/>
      <c r="C626" s="342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35"/>
      <c r="W626" s="235"/>
      <c r="X626" s="235"/>
      <c r="Y626" s="235"/>
      <c r="Z626" s="235"/>
    </row>
    <row r="627">
      <c r="A627" s="235"/>
      <c r="B627" s="235"/>
      <c r="C627" s="342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35"/>
      <c r="W627" s="235"/>
      <c r="X627" s="235"/>
      <c r="Y627" s="235"/>
      <c r="Z627" s="235"/>
    </row>
    <row r="628">
      <c r="A628" s="235"/>
      <c r="B628" s="235"/>
      <c r="C628" s="342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</row>
    <row r="629">
      <c r="A629" s="235"/>
      <c r="B629" s="235"/>
      <c r="C629" s="342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35"/>
      <c r="W629" s="235"/>
      <c r="X629" s="235"/>
      <c r="Y629" s="235"/>
      <c r="Z629" s="235"/>
    </row>
    <row r="630">
      <c r="A630" s="235"/>
      <c r="B630" s="235"/>
      <c r="C630" s="342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35"/>
      <c r="W630" s="235"/>
      <c r="X630" s="235"/>
      <c r="Y630" s="235"/>
      <c r="Z630" s="235"/>
    </row>
    <row r="631">
      <c r="A631" s="235"/>
      <c r="B631" s="235"/>
      <c r="C631" s="342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35"/>
      <c r="W631" s="235"/>
      <c r="X631" s="235"/>
      <c r="Y631" s="235"/>
      <c r="Z631" s="235"/>
    </row>
    <row r="632">
      <c r="A632" s="235"/>
      <c r="B632" s="235"/>
      <c r="C632" s="342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35"/>
      <c r="W632" s="235"/>
      <c r="X632" s="235"/>
      <c r="Y632" s="235"/>
      <c r="Z632" s="235"/>
    </row>
    <row r="633">
      <c r="A633" s="235"/>
      <c r="B633" s="235"/>
      <c r="C633" s="342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35"/>
      <c r="W633" s="235"/>
      <c r="X633" s="235"/>
      <c r="Y633" s="235"/>
      <c r="Z633" s="235"/>
    </row>
    <row r="634">
      <c r="A634" s="235"/>
      <c r="B634" s="235"/>
      <c r="C634" s="342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35"/>
      <c r="W634" s="235"/>
      <c r="X634" s="235"/>
      <c r="Y634" s="235"/>
      <c r="Z634" s="235"/>
    </row>
    <row r="635">
      <c r="A635" s="235"/>
      <c r="B635" s="235"/>
      <c r="C635" s="342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35"/>
      <c r="W635" s="235"/>
      <c r="X635" s="235"/>
      <c r="Y635" s="235"/>
      <c r="Z635" s="235"/>
    </row>
    <row r="636">
      <c r="A636" s="235"/>
      <c r="B636" s="235"/>
      <c r="C636" s="342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35"/>
      <c r="W636" s="235"/>
      <c r="X636" s="235"/>
      <c r="Y636" s="235"/>
      <c r="Z636" s="235"/>
    </row>
    <row r="637">
      <c r="A637" s="235"/>
      <c r="B637" s="235"/>
      <c r="C637" s="342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35"/>
      <c r="W637" s="235"/>
      <c r="X637" s="235"/>
      <c r="Y637" s="235"/>
      <c r="Z637" s="235"/>
    </row>
    <row r="638">
      <c r="A638" s="235"/>
      <c r="B638" s="235"/>
      <c r="C638" s="342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35"/>
      <c r="W638" s="235"/>
      <c r="X638" s="235"/>
      <c r="Y638" s="235"/>
      <c r="Z638" s="235"/>
    </row>
    <row r="639">
      <c r="A639" s="235"/>
      <c r="B639" s="235"/>
      <c r="C639" s="342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35"/>
      <c r="W639" s="235"/>
      <c r="X639" s="235"/>
      <c r="Y639" s="235"/>
      <c r="Z639" s="235"/>
    </row>
    <row r="640">
      <c r="A640" s="235"/>
      <c r="B640" s="235"/>
      <c r="C640" s="342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35"/>
      <c r="W640" s="235"/>
      <c r="X640" s="235"/>
      <c r="Y640" s="235"/>
      <c r="Z640" s="235"/>
    </row>
    <row r="641">
      <c r="A641" s="235"/>
      <c r="B641" s="235"/>
      <c r="C641" s="342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35"/>
      <c r="W641" s="235"/>
      <c r="X641" s="235"/>
      <c r="Y641" s="235"/>
      <c r="Z641" s="235"/>
    </row>
    <row r="642">
      <c r="A642" s="235"/>
      <c r="B642" s="235"/>
      <c r="C642" s="342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35"/>
      <c r="W642" s="235"/>
      <c r="X642" s="235"/>
      <c r="Y642" s="235"/>
      <c r="Z642" s="235"/>
    </row>
    <row r="643">
      <c r="A643" s="235"/>
      <c r="B643" s="235"/>
      <c r="C643" s="342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35"/>
      <c r="W643" s="235"/>
      <c r="X643" s="235"/>
      <c r="Y643" s="235"/>
      <c r="Z643" s="235"/>
    </row>
    <row r="644">
      <c r="A644" s="235"/>
      <c r="B644" s="235"/>
      <c r="C644" s="342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35"/>
      <c r="W644" s="235"/>
      <c r="X644" s="235"/>
      <c r="Y644" s="235"/>
      <c r="Z644" s="235"/>
    </row>
    <row r="645">
      <c r="A645" s="235"/>
      <c r="B645" s="235"/>
      <c r="C645" s="342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35"/>
      <c r="W645" s="235"/>
      <c r="X645" s="235"/>
      <c r="Y645" s="235"/>
      <c r="Z645" s="235"/>
    </row>
    <row r="646">
      <c r="A646" s="235"/>
      <c r="B646" s="235"/>
      <c r="C646" s="342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35"/>
      <c r="W646" s="235"/>
      <c r="X646" s="235"/>
      <c r="Y646" s="235"/>
      <c r="Z646" s="235"/>
    </row>
    <row r="647">
      <c r="A647" s="235"/>
      <c r="B647" s="235"/>
      <c r="C647" s="342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35"/>
      <c r="W647" s="235"/>
      <c r="X647" s="235"/>
      <c r="Y647" s="235"/>
      <c r="Z647" s="235"/>
    </row>
    <row r="648">
      <c r="A648" s="235"/>
      <c r="B648" s="235"/>
      <c r="C648" s="342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35"/>
      <c r="W648" s="235"/>
      <c r="X648" s="235"/>
      <c r="Y648" s="235"/>
      <c r="Z648" s="235"/>
    </row>
    <row r="649">
      <c r="A649" s="235"/>
      <c r="B649" s="235"/>
      <c r="C649" s="342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35"/>
      <c r="W649" s="235"/>
      <c r="X649" s="235"/>
      <c r="Y649" s="235"/>
      <c r="Z649" s="235"/>
    </row>
    <row r="650">
      <c r="A650" s="235"/>
      <c r="B650" s="235"/>
      <c r="C650" s="342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35"/>
      <c r="W650" s="235"/>
      <c r="X650" s="235"/>
      <c r="Y650" s="235"/>
      <c r="Z650" s="235"/>
    </row>
    <row r="651">
      <c r="A651" s="235"/>
      <c r="B651" s="235"/>
      <c r="C651" s="342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35"/>
      <c r="W651" s="235"/>
      <c r="X651" s="235"/>
      <c r="Y651" s="235"/>
      <c r="Z651" s="235"/>
    </row>
    <row r="652">
      <c r="A652" s="235"/>
      <c r="B652" s="235"/>
      <c r="C652" s="342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35"/>
      <c r="W652" s="235"/>
      <c r="X652" s="235"/>
      <c r="Y652" s="235"/>
      <c r="Z652" s="235"/>
    </row>
    <row r="653">
      <c r="A653" s="235"/>
      <c r="B653" s="235"/>
      <c r="C653" s="342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35"/>
      <c r="W653" s="235"/>
      <c r="X653" s="235"/>
      <c r="Y653" s="235"/>
      <c r="Z653" s="235"/>
    </row>
    <row r="654">
      <c r="A654" s="235"/>
      <c r="B654" s="235"/>
      <c r="C654" s="342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35"/>
      <c r="W654" s="235"/>
      <c r="X654" s="235"/>
      <c r="Y654" s="235"/>
      <c r="Z654" s="235"/>
    </row>
    <row r="655">
      <c r="A655" s="235"/>
      <c r="B655" s="235"/>
      <c r="C655" s="342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35"/>
      <c r="W655" s="235"/>
      <c r="X655" s="235"/>
      <c r="Y655" s="235"/>
      <c r="Z655" s="235"/>
    </row>
    <row r="656">
      <c r="A656" s="235"/>
      <c r="B656" s="235"/>
      <c r="C656" s="342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35"/>
      <c r="W656" s="235"/>
      <c r="X656" s="235"/>
      <c r="Y656" s="235"/>
      <c r="Z656" s="235"/>
    </row>
    <row r="657">
      <c r="A657" s="235"/>
      <c r="B657" s="235"/>
      <c r="C657" s="342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35"/>
      <c r="W657" s="235"/>
      <c r="X657" s="235"/>
      <c r="Y657" s="235"/>
      <c r="Z657" s="235"/>
    </row>
    <row r="658">
      <c r="A658" s="235"/>
      <c r="B658" s="235"/>
      <c r="C658" s="342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35"/>
      <c r="W658" s="235"/>
      <c r="X658" s="235"/>
      <c r="Y658" s="235"/>
      <c r="Z658" s="235"/>
    </row>
    <row r="659">
      <c r="A659" s="235"/>
      <c r="B659" s="235"/>
      <c r="C659" s="342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35"/>
      <c r="W659" s="235"/>
      <c r="X659" s="235"/>
      <c r="Y659" s="235"/>
      <c r="Z659" s="235"/>
    </row>
    <row r="660">
      <c r="A660" s="235"/>
      <c r="B660" s="235"/>
      <c r="C660" s="342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35"/>
      <c r="W660" s="235"/>
      <c r="X660" s="235"/>
      <c r="Y660" s="235"/>
      <c r="Z660" s="235"/>
    </row>
    <row r="661">
      <c r="A661" s="235"/>
      <c r="B661" s="235"/>
      <c r="C661" s="342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35"/>
      <c r="W661" s="235"/>
      <c r="X661" s="235"/>
      <c r="Y661" s="235"/>
      <c r="Z661" s="235"/>
    </row>
    <row r="662">
      <c r="A662" s="235"/>
      <c r="B662" s="235"/>
      <c r="C662" s="342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35"/>
      <c r="W662" s="235"/>
      <c r="X662" s="235"/>
      <c r="Y662" s="235"/>
      <c r="Z662" s="235"/>
    </row>
    <row r="663">
      <c r="A663" s="235"/>
      <c r="B663" s="235"/>
      <c r="C663" s="342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35"/>
      <c r="W663" s="235"/>
      <c r="X663" s="235"/>
      <c r="Y663" s="235"/>
      <c r="Z663" s="235"/>
    </row>
    <row r="664">
      <c r="A664" s="235"/>
      <c r="B664" s="235"/>
      <c r="C664" s="342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35"/>
      <c r="W664" s="235"/>
      <c r="X664" s="235"/>
      <c r="Y664" s="235"/>
      <c r="Z664" s="235"/>
    </row>
    <row r="665">
      <c r="A665" s="235"/>
      <c r="B665" s="235"/>
      <c r="C665" s="342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35"/>
      <c r="W665" s="235"/>
      <c r="X665" s="235"/>
      <c r="Y665" s="235"/>
      <c r="Z665" s="235"/>
    </row>
    <row r="666">
      <c r="A666" s="235"/>
      <c r="B666" s="235"/>
      <c r="C666" s="342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35"/>
      <c r="W666" s="235"/>
      <c r="X666" s="235"/>
      <c r="Y666" s="235"/>
      <c r="Z666" s="235"/>
    </row>
    <row r="667">
      <c r="A667" s="235"/>
      <c r="B667" s="235"/>
      <c r="C667" s="342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35"/>
      <c r="W667" s="235"/>
      <c r="X667" s="235"/>
      <c r="Y667" s="235"/>
      <c r="Z667" s="235"/>
    </row>
    <row r="668">
      <c r="A668" s="235"/>
      <c r="B668" s="235"/>
      <c r="C668" s="342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35"/>
      <c r="W668" s="235"/>
      <c r="X668" s="235"/>
      <c r="Y668" s="235"/>
      <c r="Z668" s="235"/>
    </row>
    <row r="669">
      <c r="A669" s="235"/>
      <c r="B669" s="235"/>
      <c r="C669" s="342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35"/>
      <c r="W669" s="235"/>
      <c r="X669" s="235"/>
      <c r="Y669" s="235"/>
      <c r="Z669" s="235"/>
    </row>
    <row r="670">
      <c r="A670" s="235"/>
      <c r="B670" s="235"/>
      <c r="C670" s="342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35"/>
      <c r="W670" s="235"/>
      <c r="X670" s="235"/>
      <c r="Y670" s="235"/>
      <c r="Z670" s="235"/>
    </row>
    <row r="671">
      <c r="A671" s="235"/>
      <c r="B671" s="235"/>
      <c r="C671" s="342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35"/>
      <c r="W671" s="235"/>
      <c r="X671" s="235"/>
      <c r="Y671" s="235"/>
      <c r="Z671" s="235"/>
    </row>
    <row r="672">
      <c r="A672" s="235"/>
      <c r="B672" s="235"/>
      <c r="C672" s="342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35"/>
      <c r="W672" s="235"/>
      <c r="X672" s="235"/>
      <c r="Y672" s="235"/>
      <c r="Z672" s="235"/>
    </row>
    <row r="673">
      <c r="A673" s="235"/>
      <c r="B673" s="235"/>
      <c r="C673" s="342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35"/>
      <c r="W673" s="235"/>
      <c r="X673" s="235"/>
      <c r="Y673" s="235"/>
      <c r="Z673" s="235"/>
    </row>
    <row r="674">
      <c r="A674" s="235"/>
      <c r="B674" s="235"/>
      <c r="C674" s="342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35"/>
      <c r="W674" s="235"/>
      <c r="X674" s="235"/>
      <c r="Y674" s="235"/>
      <c r="Z674" s="235"/>
    </row>
    <row r="675">
      <c r="A675" s="235"/>
      <c r="B675" s="235"/>
      <c r="C675" s="342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35"/>
      <c r="W675" s="235"/>
      <c r="X675" s="235"/>
      <c r="Y675" s="235"/>
      <c r="Z675" s="235"/>
    </row>
    <row r="676">
      <c r="A676" s="235"/>
      <c r="B676" s="235"/>
      <c r="C676" s="342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35"/>
      <c r="W676" s="235"/>
      <c r="X676" s="235"/>
      <c r="Y676" s="235"/>
      <c r="Z676" s="235"/>
    </row>
    <row r="677">
      <c r="A677" s="235"/>
      <c r="B677" s="235"/>
      <c r="C677" s="342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35"/>
      <c r="W677" s="235"/>
      <c r="X677" s="235"/>
      <c r="Y677" s="235"/>
      <c r="Z677" s="235"/>
    </row>
    <row r="678">
      <c r="A678" s="235"/>
      <c r="B678" s="235"/>
      <c r="C678" s="342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35"/>
      <c r="W678" s="235"/>
      <c r="X678" s="235"/>
      <c r="Y678" s="235"/>
      <c r="Z678" s="235"/>
    </row>
    <row r="679">
      <c r="A679" s="235"/>
      <c r="B679" s="235"/>
      <c r="C679" s="342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35"/>
      <c r="W679" s="235"/>
      <c r="X679" s="235"/>
      <c r="Y679" s="235"/>
      <c r="Z679" s="235"/>
    </row>
    <row r="680">
      <c r="A680" s="235"/>
      <c r="B680" s="235"/>
      <c r="C680" s="342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35"/>
      <c r="W680" s="235"/>
      <c r="X680" s="235"/>
      <c r="Y680" s="235"/>
      <c r="Z680" s="235"/>
    </row>
    <row r="681">
      <c r="A681" s="235"/>
      <c r="B681" s="235"/>
      <c r="C681" s="342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35"/>
      <c r="W681" s="235"/>
      <c r="X681" s="235"/>
      <c r="Y681" s="235"/>
      <c r="Z681" s="235"/>
    </row>
    <row r="682">
      <c r="A682" s="235"/>
      <c r="B682" s="235"/>
      <c r="C682" s="342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35"/>
      <c r="W682" s="235"/>
      <c r="X682" s="235"/>
      <c r="Y682" s="235"/>
      <c r="Z682" s="235"/>
    </row>
    <row r="683">
      <c r="A683" s="235"/>
      <c r="B683" s="235"/>
      <c r="C683" s="342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35"/>
      <c r="W683" s="235"/>
      <c r="X683" s="235"/>
      <c r="Y683" s="235"/>
      <c r="Z683" s="235"/>
    </row>
    <row r="684">
      <c r="A684" s="235"/>
      <c r="B684" s="235"/>
      <c r="C684" s="342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35"/>
      <c r="W684" s="235"/>
      <c r="X684" s="235"/>
      <c r="Y684" s="235"/>
      <c r="Z684" s="235"/>
    </row>
    <row r="685">
      <c r="A685" s="235"/>
      <c r="B685" s="235"/>
      <c r="C685" s="342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35"/>
      <c r="W685" s="235"/>
      <c r="X685" s="235"/>
      <c r="Y685" s="235"/>
      <c r="Z685" s="235"/>
    </row>
    <row r="686">
      <c r="A686" s="235"/>
      <c r="B686" s="235"/>
      <c r="C686" s="342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35"/>
      <c r="W686" s="235"/>
      <c r="X686" s="235"/>
      <c r="Y686" s="235"/>
      <c r="Z686" s="235"/>
    </row>
    <row r="687">
      <c r="A687" s="235"/>
      <c r="B687" s="235"/>
      <c r="C687" s="342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35"/>
      <c r="W687" s="235"/>
      <c r="X687" s="235"/>
      <c r="Y687" s="235"/>
      <c r="Z687" s="235"/>
    </row>
    <row r="688">
      <c r="A688" s="235"/>
      <c r="B688" s="235"/>
      <c r="C688" s="342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35"/>
      <c r="W688" s="235"/>
      <c r="X688" s="235"/>
      <c r="Y688" s="235"/>
      <c r="Z688" s="235"/>
    </row>
    <row r="689">
      <c r="A689" s="235"/>
      <c r="B689" s="235"/>
      <c r="C689" s="342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35"/>
      <c r="W689" s="235"/>
      <c r="X689" s="235"/>
      <c r="Y689" s="235"/>
      <c r="Z689" s="235"/>
    </row>
    <row r="690">
      <c r="A690" s="235"/>
      <c r="B690" s="235"/>
      <c r="C690" s="342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35"/>
      <c r="W690" s="235"/>
      <c r="X690" s="235"/>
      <c r="Y690" s="235"/>
      <c r="Z690" s="235"/>
    </row>
    <row r="691">
      <c r="A691" s="235"/>
      <c r="B691" s="235"/>
      <c r="C691" s="342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35"/>
      <c r="W691" s="235"/>
      <c r="X691" s="235"/>
      <c r="Y691" s="235"/>
      <c r="Z691" s="235"/>
    </row>
    <row r="692">
      <c r="A692" s="235"/>
      <c r="B692" s="235"/>
      <c r="C692" s="342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35"/>
      <c r="W692" s="235"/>
      <c r="X692" s="235"/>
      <c r="Y692" s="235"/>
      <c r="Z692" s="235"/>
    </row>
    <row r="693">
      <c r="A693" s="235"/>
      <c r="B693" s="235"/>
      <c r="C693" s="342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35"/>
      <c r="W693" s="235"/>
      <c r="X693" s="235"/>
      <c r="Y693" s="235"/>
      <c r="Z693" s="235"/>
    </row>
    <row r="694">
      <c r="A694" s="235"/>
      <c r="B694" s="235"/>
      <c r="C694" s="342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35"/>
      <c r="W694" s="235"/>
      <c r="X694" s="235"/>
      <c r="Y694" s="235"/>
      <c r="Z694" s="235"/>
    </row>
    <row r="695">
      <c r="A695" s="235"/>
      <c r="B695" s="235"/>
      <c r="C695" s="342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35"/>
      <c r="W695" s="235"/>
      <c r="X695" s="235"/>
      <c r="Y695" s="235"/>
      <c r="Z695" s="235"/>
    </row>
    <row r="696">
      <c r="A696" s="235"/>
      <c r="B696" s="235"/>
      <c r="C696" s="342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35"/>
      <c r="W696" s="235"/>
      <c r="X696" s="235"/>
      <c r="Y696" s="235"/>
      <c r="Z696" s="235"/>
    </row>
    <row r="697">
      <c r="A697" s="235"/>
      <c r="B697" s="235"/>
      <c r="C697" s="342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35"/>
      <c r="W697" s="235"/>
      <c r="X697" s="235"/>
      <c r="Y697" s="235"/>
      <c r="Z697" s="235"/>
    </row>
    <row r="698">
      <c r="A698" s="235"/>
      <c r="B698" s="235"/>
      <c r="C698" s="342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35"/>
      <c r="W698" s="235"/>
      <c r="X698" s="235"/>
      <c r="Y698" s="235"/>
      <c r="Z698" s="235"/>
    </row>
    <row r="699">
      <c r="A699" s="235"/>
      <c r="B699" s="235"/>
      <c r="C699" s="342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35"/>
      <c r="W699" s="235"/>
      <c r="X699" s="235"/>
      <c r="Y699" s="235"/>
      <c r="Z699" s="235"/>
    </row>
    <row r="700">
      <c r="A700" s="235"/>
      <c r="B700" s="235"/>
      <c r="C700" s="342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35"/>
      <c r="W700" s="235"/>
      <c r="X700" s="235"/>
      <c r="Y700" s="235"/>
      <c r="Z700" s="235"/>
    </row>
    <row r="701">
      <c r="A701" s="235"/>
      <c r="B701" s="235"/>
      <c r="C701" s="342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35"/>
      <c r="W701" s="235"/>
      <c r="X701" s="235"/>
      <c r="Y701" s="235"/>
      <c r="Z701" s="235"/>
    </row>
    <row r="702">
      <c r="A702" s="235"/>
      <c r="B702" s="235"/>
      <c r="C702" s="342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35"/>
      <c r="W702" s="235"/>
      <c r="X702" s="235"/>
      <c r="Y702" s="235"/>
      <c r="Z702" s="235"/>
    </row>
    <row r="703">
      <c r="A703" s="235"/>
      <c r="B703" s="235"/>
      <c r="C703" s="342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35"/>
      <c r="W703" s="235"/>
      <c r="X703" s="235"/>
      <c r="Y703" s="235"/>
      <c r="Z703" s="235"/>
    </row>
    <row r="704">
      <c r="A704" s="235"/>
      <c r="B704" s="235"/>
      <c r="C704" s="342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35"/>
      <c r="W704" s="235"/>
      <c r="X704" s="235"/>
      <c r="Y704" s="235"/>
      <c r="Z704" s="235"/>
    </row>
    <row r="705">
      <c r="A705" s="235"/>
      <c r="B705" s="235"/>
      <c r="C705" s="342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35"/>
      <c r="W705" s="235"/>
      <c r="X705" s="235"/>
      <c r="Y705" s="235"/>
      <c r="Z705" s="235"/>
    </row>
    <row r="706">
      <c r="A706" s="235"/>
      <c r="B706" s="235"/>
      <c r="C706" s="342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35"/>
      <c r="W706" s="235"/>
      <c r="X706" s="235"/>
      <c r="Y706" s="235"/>
      <c r="Z706" s="235"/>
    </row>
    <row r="707">
      <c r="A707" s="235"/>
      <c r="B707" s="235"/>
      <c r="C707" s="342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35"/>
      <c r="W707" s="235"/>
      <c r="X707" s="235"/>
      <c r="Y707" s="235"/>
      <c r="Z707" s="235"/>
    </row>
    <row r="708">
      <c r="A708" s="235"/>
      <c r="B708" s="235"/>
      <c r="C708" s="342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35"/>
      <c r="W708" s="235"/>
      <c r="X708" s="235"/>
      <c r="Y708" s="235"/>
      <c r="Z708" s="235"/>
    </row>
    <row r="709">
      <c r="A709" s="235"/>
      <c r="B709" s="235"/>
      <c r="C709" s="342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35"/>
      <c r="W709" s="235"/>
      <c r="X709" s="235"/>
      <c r="Y709" s="235"/>
      <c r="Z709" s="235"/>
    </row>
    <row r="710">
      <c r="A710" s="235"/>
      <c r="B710" s="235"/>
      <c r="C710" s="342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35"/>
      <c r="W710" s="235"/>
      <c r="X710" s="235"/>
      <c r="Y710" s="235"/>
      <c r="Z710" s="235"/>
    </row>
    <row r="711">
      <c r="A711" s="235"/>
      <c r="B711" s="235"/>
      <c r="C711" s="342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35"/>
      <c r="W711" s="235"/>
      <c r="X711" s="235"/>
      <c r="Y711" s="235"/>
      <c r="Z711" s="235"/>
    </row>
    <row r="712">
      <c r="A712" s="235"/>
      <c r="B712" s="235"/>
      <c r="C712" s="342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35"/>
      <c r="W712" s="235"/>
      <c r="X712" s="235"/>
      <c r="Y712" s="235"/>
      <c r="Z712" s="235"/>
    </row>
    <row r="713">
      <c r="A713" s="235"/>
      <c r="B713" s="235"/>
      <c r="C713" s="342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35"/>
      <c r="W713" s="235"/>
      <c r="X713" s="235"/>
      <c r="Y713" s="235"/>
      <c r="Z713" s="235"/>
    </row>
    <row r="714">
      <c r="A714" s="235"/>
      <c r="B714" s="235"/>
      <c r="C714" s="342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35"/>
      <c r="W714" s="235"/>
      <c r="X714" s="235"/>
      <c r="Y714" s="235"/>
      <c r="Z714" s="235"/>
    </row>
    <row r="715">
      <c r="A715" s="235"/>
      <c r="B715" s="235"/>
      <c r="C715" s="342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35"/>
      <c r="W715" s="235"/>
      <c r="X715" s="235"/>
      <c r="Y715" s="235"/>
      <c r="Z715" s="235"/>
    </row>
    <row r="716">
      <c r="A716" s="235"/>
      <c r="B716" s="235"/>
      <c r="C716" s="342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35"/>
      <c r="W716" s="235"/>
      <c r="X716" s="235"/>
      <c r="Y716" s="235"/>
      <c r="Z716" s="235"/>
    </row>
    <row r="717">
      <c r="A717" s="235"/>
      <c r="B717" s="235"/>
      <c r="C717" s="342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</row>
    <row r="718">
      <c r="A718" s="235"/>
      <c r="B718" s="235"/>
      <c r="C718" s="342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35"/>
      <c r="W718" s="235"/>
      <c r="X718" s="235"/>
      <c r="Y718" s="235"/>
      <c r="Z718" s="235"/>
    </row>
    <row r="719">
      <c r="A719" s="235"/>
      <c r="B719" s="235"/>
      <c r="C719" s="342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35"/>
      <c r="W719" s="235"/>
      <c r="X719" s="235"/>
      <c r="Y719" s="235"/>
      <c r="Z719" s="235"/>
    </row>
    <row r="720">
      <c r="A720" s="235"/>
      <c r="B720" s="235"/>
      <c r="C720" s="342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35"/>
      <c r="W720" s="235"/>
      <c r="X720" s="235"/>
      <c r="Y720" s="235"/>
      <c r="Z720" s="235"/>
    </row>
    <row r="721">
      <c r="A721" s="235"/>
      <c r="B721" s="235"/>
      <c r="C721" s="342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35"/>
      <c r="W721" s="235"/>
      <c r="X721" s="235"/>
      <c r="Y721" s="235"/>
      <c r="Z721" s="235"/>
    </row>
    <row r="722">
      <c r="A722" s="235"/>
      <c r="B722" s="235"/>
      <c r="C722" s="342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35"/>
      <c r="W722" s="235"/>
      <c r="X722" s="235"/>
      <c r="Y722" s="235"/>
      <c r="Z722" s="235"/>
    </row>
    <row r="723">
      <c r="A723" s="235"/>
      <c r="B723" s="235"/>
      <c r="C723" s="342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35"/>
      <c r="W723" s="235"/>
      <c r="X723" s="235"/>
      <c r="Y723" s="235"/>
      <c r="Z723" s="235"/>
    </row>
    <row r="724">
      <c r="A724" s="235"/>
      <c r="B724" s="235"/>
      <c r="C724" s="342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35"/>
      <c r="W724" s="235"/>
      <c r="X724" s="235"/>
      <c r="Y724" s="235"/>
      <c r="Z724" s="235"/>
    </row>
    <row r="725">
      <c r="A725" s="235"/>
      <c r="B725" s="235"/>
      <c r="C725" s="342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35"/>
      <c r="W725" s="235"/>
      <c r="X725" s="235"/>
      <c r="Y725" s="235"/>
      <c r="Z725" s="235"/>
    </row>
    <row r="726">
      <c r="A726" s="235"/>
      <c r="B726" s="235"/>
      <c r="C726" s="342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35"/>
      <c r="W726" s="235"/>
      <c r="X726" s="235"/>
      <c r="Y726" s="235"/>
      <c r="Z726" s="235"/>
    </row>
    <row r="727">
      <c r="A727" s="235"/>
      <c r="B727" s="235"/>
      <c r="C727" s="342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35"/>
      <c r="W727" s="235"/>
      <c r="X727" s="235"/>
      <c r="Y727" s="235"/>
      <c r="Z727" s="235"/>
    </row>
    <row r="728">
      <c r="A728" s="235"/>
      <c r="B728" s="235"/>
      <c r="C728" s="342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35"/>
      <c r="W728" s="235"/>
      <c r="X728" s="235"/>
      <c r="Y728" s="235"/>
      <c r="Z728" s="235"/>
    </row>
    <row r="729">
      <c r="A729" s="235"/>
      <c r="B729" s="235"/>
      <c r="C729" s="342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35"/>
      <c r="W729" s="235"/>
      <c r="X729" s="235"/>
      <c r="Y729" s="235"/>
      <c r="Z729" s="235"/>
    </row>
    <row r="730">
      <c r="A730" s="235"/>
      <c r="B730" s="235"/>
      <c r="C730" s="342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35"/>
      <c r="W730" s="235"/>
      <c r="X730" s="235"/>
      <c r="Y730" s="235"/>
      <c r="Z730" s="235"/>
    </row>
    <row r="731">
      <c r="A731" s="235"/>
      <c r="B731" s="235"/>
      <c r="C731" s="342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35"/>
      <c r="W731" s="235"/>
      <c r="X731" s="235"/>
      <c r="Y731" s="235"/>
      <c r="Z731" s="235"/>
    </row>
    <row r="732">
      <c r="A732" s="235"/>
      <c r="B732" s="235"/>
      <c r="C732" s="342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35"/>
      <c r="W732" s="235"/>
      <c r="X732" s="235"/>
      <c r="Y732" s="235"/>
      <c r="Z732" s="235"/>
    </row>
    <row r="733">
      <c r="A733" s="235"/>
      <c r="B733" s="235"/>
      <c r="C733" s="342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35"/>
      <c r="W733" s="235"/>
      <c r="X733" s="235"/>
      <c r="Y733" s="235"/>
      <c r="Z733" s="235"/>
    </row>
    <row r="734">
      <c r="A734" s="235"/>
      <c r="B734" s="235"/>
      <c r="C734" s="342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35"/>
      <c r="W734" s="235"/>
      <c r="X734" s="235"/>
      <c r="Y734" s="235"/>
      <c r="Z734" s="235"/>
    </row>
    <row r="735">
      <c r="A735" s="235"/>
      <c r="B735" s="235"/>
      <c r="C735" s="342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35"/>
      <c r="W735" s="235"/>
      <c r="X735" s="235"/>
      <c r="Y735" s="235"/>
      <c r="Z735" s="235"/>
    </row>
    <row r="736">
      <c r="A736" s="235"/>
      <c r="B736" s="235"/>
      <c r="C736" s="342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35"/>
      <c r="W736" s="235"/>
      <c r="X736" s="235"/>
      <c r="Y736" s="235"/>
      <c r="Z736" s="235"/>
    </row>
    <row r="737">
      <c r="A737" s="235"/>
      <c r="B737" s="235"/>
      <c r="C737" s="342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35"/>
      <c r="W737" s="235"/>
      <c r="X737" s="235"/>
      <c r="Y737" s="235"/>
      <c r="Z737" s="235"/>
    </row>
    <row r="738">
      <c r="A738" s="235"/>
      <c r="B738" s="235"/>
      <c r="C738" s="342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35"/>
      <c r="W738" s="235"/>
      <c r="X738" s="235"/>
      <c r="Y738" s="235"/>
      <c r="Z738" s="235"/>
    </row>
    <row r="739">
      <c r="A739" s="235"/>
      <c r="B739" s="235"/>
      <c r="C739" s="342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35"/>
      <c r="W739" s="235"/>
      <c r="X739" s="235"/>
      <c r="Y739" s="235"/>
      <c r="Z739" s="235"/>
    </row>
    <row r="740">
      <c r="A740" s="235"/>
      <c r="B740" s="235"/>
      <c r="C740" s="342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35"/>
      <c r="W740" s="235"/>
      <c r="X740" s="235"/>
      <c r="Y740" s="235"/>
      <c r="Z740" s="235"/>
    </row>
    <row r="741">
      <c r="A741" s="235"/>
      <c r="B741" s="235"/>
      <c r="C741" s="342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35"/>
      <c r="W741" s="235"/>
      <c r="X741" s="235"/>
      <c r="Y741" s="235"/>
      <c r="Z741" s="235"/>
    </row>
    <row r="742">
      <c r="A742" s="235"/>
      <c r="B742" s="235"/>
      <c r="C742" s="342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35"/>
      <c r="W742" s="235"/>
      <c r="X742" s="235"/>
      <c r="Y742" s="235"/>
      <c r="Z742" s="235"/>
    </row>
    <row r="743">
      <c r="A743" s="235"/>
      <c r="B743" s="235"/>
      <c r="C743" s="342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35"/>
      <c r="W743" s="235"/>
      <c r="X743" s="235"/>
      <c r="Y743" s="235"/>
      <c r="Z743" s="235"/>
    </row>
    <row r="744">
      <c r="A744" s="235"/>
      <c r="B744" s="235"/>
      <c r="C744" s="342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35"/>
      <c r="W744" s="235"/>
      <c r="X744" s="235"/>
      <c r="Y744" s="235"/>
      <c r="Z744" s="235"/>
    </row>
    <row r="745">
      <c r="A745" s="235"/>
      <c r="B745" s="235"/>
      <c r="C745" s="342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35"/>
      <c r="W745" s="235"/>
      <c r="X745" s="235"/>
      <c r="Y745" s="235"/>
      <c r="Z745" s="235"/>
    </row>
    <row r="746">
      <c r="A746" s="235"/>
      <c r="B746" s="235"/>
      <c r="C746" s="342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35"/>
      <c r="W746" s="235"/>
      <c r="X746" s="235"/>
      <c r="Y746" s="235"/>
      <c r="Z746" s="235"/>
    </row>
    <row r="747">
      <c r="A747" s="235"/>
      <c r="B747" s="235"/>
      <c r="C747" s="342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35"/>
      <c r="W747" s="235"/>
      <c r="X747" s="235"/>
      <c r="Y747" s="235"/>
      <c r="Z747" s="235"/>
    </row>
    <row r="748">
      <c r="A748" s="235"/>
      <c r="B748" s="235"/>
      <c r="C748" s="342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35"/>
      <c r="W748" s="235"/>
      <c r="X748" s="235"/>
      <c r="Y748" s="235"/>
      <c r="Z748" s="235"/>
    </row>
    <row r="749">
      <c r="A749" s="235"/>
      <c r="B749" s="235"/>
      <c r="C749" s="342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35"/>
      <c r="W749" s="235"/>
      <c r="X749" s="235"/>
      <c r="Y749" s="235"/>
      <c r="Z749" s="235"/>
    </row>
    <row r="750">
      <c r="A750" s="235"/>
      <c r="B750" s="235"/>
      <c r="C750" s="342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35"/>
      <c r="W750" s="235"/>
      <c r="X750" s="235"/>
      <c r="Y750" s="235"/>
      <c r="Z750" s="235"/>
    </row>
    <row r="751">
      <c r="A751" s="235"/>
      <c r="B751" s="235"/>
      <c r="C751" s="342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35"/>
      <c r="W751" s="235"/>
      <c r="X751" s="235"/>
      <c r="Y751" s="235"/>
      <c r="Z751" s="235"/>
    </row>
    <row r="752">
      <c r="A752" s="235"/>
      <c r="B752" s="235"/>
      <c r="C752" s="342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35"/>
      <c r="W752" s="235"/>
      <c r="X752" s="235"/>
      <c r="Y752" s="235"/>
      <c r="Z752" s="235"/>
    </row>
    <row r="753">
      <c r="A753" s="235"/>
      <c r="B753" s="235"/>
      <c r="C753" s="342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35"/>
      <c r="W753" s="235"/>
      <c r="X753" s="235"/>
      <c r="Y753" s="235"/>
      <c r="Z753" s="235"/>
    </row>
    <row r="754">
      <c r="A754" s="235"/>
      <c r="B754" s="235"/>
      <c r="C754" s="342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35"/>
      <c r="W754" s="235"/>
      <c r="X754" s="235"/>
      <c r="Y754" s="235"/>
      <c r="Z754" s="235"/>
    </row>
    <row r="755">
      <c r="A755" s="235"/>
      <c r="B755" s="235"/>
      <c r="C755" s="342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35"/>
      <c r="W755" s="235"/>
      <c r="X755" s="235"/>
      <c r="Y755" s="235"/>
      <c r="Z755" s="235"/>
    </row>
    <row r="756">
      <c r="A756" s="235"/>
      <c r="B756" s="235"/>
      <c r="C756" s="342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35"/>
      <c r="W756" s="235"/>
      <c r="X756" s="235"/>
      <c r="Y756" s="235"/>
      <c r="Z756" s="235"/>
    </row>
    <row r="757">
      <c r="A757" s="235"/>
      <c r="B757" s="235"/>
      <c r="C757" s="342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35"/>
      <c r="W757" s="235"/>
      <c r="X757" s="235"/>
      <c r="Y757" s="235"/>
      <c r="Z757" s="235"/>
    </row>
    <row r="758">
      <c r="A758" s="235"/>
      <c r="B758" s="235"/>
      <c r="C758" s="342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35"/>
      <c r="W758" s="235"/>
      <c r="X758" s="235"/>
      <c r="Y758" s="235"/>
      <c r="Z758" s="235"/>
    </row>
    <row r="759">
      <c r="A759" s="235"/>
      <c r="B759" s="235"/>
      <c r="C759" s="342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35"/>
      <c r="W759" s="235"/>
      <c r="X759" s="235"/>
      <c r="Y759" s="235"/>
      <c r="Z759" s="235"/>
    </row>
    <row r="760">
      <c r="A760" s="235"/>
      <c r="B760" s="235"/>
      <c r="C760" s="342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35"/>
      <c r="W760" s="235"/>
      <c r="X760" s="235"/>
      <c r="Y760" s="235"/>
      <c r="Z760" s="235"/>
    </row>
    <row r="761">
      <c r="A761" s="235"/>
      <c r="B761" s="235"/>
      <c r="C761" s="342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35"/>
      <c r="W761" s="235"/>
      <c r="X761" s="235"/>
      <c r="Y761" s="235"/>
      <c r="Z761" s="235"/>
    </row>
    <row r="762">
      <c r="A762" s="235"/>
      <c r="B762" s="235"/>
      <c r="C762" s="342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35"/>
      <c r="W762" s="235"/>
      <c r="X762" s="235"/>
      <c r="Y762" s="235"/>
      <c r="Z762" s="235"/>
    </row>
    <row r="763">
      <c r="A763" s="235"/>
      <c r="B763" s="235"/>
      <c r="C763" s="342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35"/>
      <c r="W763" s="235"/>
      <c r="X763" s="235"/>
      <c r="Y763" s="235"/>
      <c r="Z763" s="235"/>
    </row>
    <row r="764">
      <c r="A764" s="235"/>
      <c r="B764" s="235"/>
      <c r="C764" s="342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35"/>
      <c r="W764" s="235"/>
      <c r="X764" s="235"/>
      <c r="Y764" s="235"/>
      <c r="Z764" s="235"/>
    </row>
    <row r="765">
      <c r="A765" s="235"/>
      <c r="B765" s="235"/>
      <c r="C765" s="342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35"/>
      <c r="W765" s="235"/>
      <c r="X765" s="235"/>
      <c r="Y765" s="235"/>
      <c r="Z765" s="235"/>
    </row>
    <row r="766">
      <c r="A766" s="235"/>
      <c r="B766" s="235"/>
      <c r="C766" s="342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35"/>
      <c r="W766" s="235"/>
      <c r="X766" s="235"/>
      <c r="Y766" s="235"/>
      <c r="Z766" s="235"/>
    </row>
    <row r="767">
      <c r="A767" s="235"/>
      <c r="B767" s="235"/>
      <c r="C767" s="342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35"/>
      <c r="W767" s="235"/>
      <c r="X767" s="235"/>
      <c r="Y767" s="235"/>
      <c r="Z767" s="235"/>
    </row>
    <row r="768">
      <c r="A768" s="235"/>
      <c r="B768" s="235"/>
      <c r="C768" s="342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35"/>
      <c r="W768" s="235"/>
      <c r="X768" s="235"/>
      <c r="Y768" s="235"/>
      <c r="Z768" s="235"/>
    </row>
    <row r="769">
      <c r="A769" s="235"/>
      <c r="B769" s="235"/>
      <c r="C769" s="342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35"/>
      <c r="W769" s="235"/>
      <c r="X769" s="235"/>
      <c r="Y769" s="235"/>
      <c r="Z769" s="235"/>
    </row>
    <row r="770">
      <c r="A770" s="235"/>
      <c r="B770" s="235"/>
      <c r="C770" s="342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35"/>
      <c r="W770" s="235"/>
      <c r="X770" s="235"/>
      <c r="Y770" s="235"/>
      <c r="Z770" s="235"/>
    </row>
    <row r="771">
      <c r="A771" s="235"/>
      <c r="B771" s="235"/>
      <c r="C771" s="342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35"/>
      <c r="W771" s="235"/>
      <c r="X771" s="235"/>
      <c r="Y771" s="235"/>
      <c r="Z771" s="235"/>
    </row>
    <row r="772">
      <c r="A772" s="235"/>
      <c r="B772" s="235"/>
      <c r="C772" s="342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35"/>
      <c r="W772" s="235"/>
      <c r="X772" s="235"/>
      <c r="Y772" s="235"/>
      <c r="Z772" s="235"/>
    </row>
    <row r="773">
      <c r="A773" s="235"/>
      <c r="B773" s="235"/>
      <c r="C773" s="342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35"/>
      <c r="W773" s="235"/>
      <c r="X773" s="235"/>
      <c r="Y773" s="235"/>
      <c r="Z773" s="235"/>
    </row>
    <row r="774">
      <c r="A774" s="235"/>
      <c r="B774" s="235"/>
      <c r="C774" s="342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35"/>
      <c r="W774" s="235"/>
      <c r="X774" s="235"/>
      <c r="Y774" s="235"/>
      <c r="Z774" s="235"/>
    </row>
    <row r="775">
      <c r="A775" s="235"/>
      <c r="B775" s="235"/>
      <c r="C775" s="342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35"/>
      <c r="W775" s="235"/>
      <c r="X775" s="235"/>
      <c r="Y775" s="235"/>
      <c r="Z775" s="235"/>
    </row>
    <row r="776">
      <c r="A776" s="235"/>
      <c r="B776" s="235"/>
      <c r="C776" s="342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35"/>
      <c r="W776" s="235"/>
      <c r="X776" s="235"/>
      <c r="Y776" s="235"/>
      <c r="Z776" s="235"/>
    </row>
    <row r="777">
      <c r="A777" s="235"/>
      <c r="B777" s="235"/>
      <c r="C777" s="342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35"/>
      <c r="W777" s="235"/>
      <c r="X777" s="235"/>
      <c r="Y777" s="235"/>
      <c r="Z777" s="235"/>
    </row>
    <row r="778">
      <c r="A778" s="235"/>
      <c r="B778" s="235"/>
      <c r="C778" s="342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35"/>
      <c r="W778" s="235"/>
      <c r="X778" s="235"/>
      <c r="Y778" s="235"/>
      <c r="Z778" s="235"/>
    </row>
    <row r="779">
      <c r="A779" s="235"/>
      <c r="B779" s="235"/>
      <c r="C779" s="342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35"/>
      <c r="W779" s="235"/>
      <c r="X779" s="235"/>
      <c r="Y779" s="235"/>
      <c r="Z779" s="235"/>
    </row>
    <row r="780">
      <c r="A780" s="235"/>
      <c r="B780" s="235"/>
      <c r="C780" s="342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35"/>
      <c r="W780" s="235"/>
      <c r="X780" s="235"/>
      <c r="Y780" s="235"/>
      <c r="Z780" s="235"/>
    </row>
    <row r="781">
      <c r="A781" s="235"/>
      <c r="B781" s="235"/>
      <c r="C781" s="342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35"/>
      <c r="W781" s="235"/>
      <c r="X781" s="235"/>
      <c r="Y781" s="235"/>
      <c r="Z781" s="235"/>
    </row>
    <row r="782">
      <c r="A782" s="235"/>
      <c r="B782" s="235"/>
      <c r="C782" s="342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35"/>
      <c r="W782" s="235"/>
      <c r="X782" s="235"/>
      <c r="Y782" s="235"/>
      <c r="Z782" s="235"/>
    </row>
    <row r="783">
      <c r="A783" s="235"/>
      <c r="B783" s="235"/>
      <c r="C783" s="342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35"/>
      <c r="W783" s="235"/>
      <c r="X783" s="235"/>
      <c r="Y783" s="235"/>
      <c r="Z783" s="235"/>
    </row>
    <row r="784">
      <c r="A784" s="235"/>
      <c r="B784" s="235"/>
      <c r="C784" s="342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35"/>
      <c r="W784" s="235"/>
      <c r="X784" s="235"/>
      <c r="Y784" s="235"/>
      <c r="Z784" s="235"/>
    </row>
    <row r="785">
      <c r="A785" s="235"/>
      <c r="B785" s="235"/>
      <c r="C785" s="342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35"/>
      <c r="W785" s="235"/>
      <c r="X785" s="235"/>
      <c r="Y785" s="235"/>
      <c r="Z785" s="235"/>
    </row>
    <row r="786">
      <c r="A786" s="235"/>
      <c r="B786" s="235"/>
      <c r="C786" s="342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35"/>
      <c r="W786" s="235"/>
      <c r="X786" s="235"/>
      <c r="Y786" s="235"/>
      <c r="Z786" s="235"/>
    </row>
    <row r="787">
      <c r="A787" s="235"/>
      <c r="B787" s="235"/>
      <c r="C787" s="342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35"/>
      <c r="W787" s="235"/>
      <c r="X787" s="235"/>
      <c r="Y787" s="235"/>
      <c r="Z787" s="235"/>
    </row>
    <row r="788">
      <c r="A788" s="235"/>
      <c r="B788" s="235"/>
      <c r="C788" s="342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35"/>
      <c r="W788" s="235"/>
      <c r="X788" s="235"/>
      <c r="Y788" s="235"/>
      <c r="Z788" s="235"/>
    </row>
    <row r="789">
      <c r="A789" s="235"/>
      <c r="B789" s="235"/>
      <c r="C789" s="342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35"/>
      <c r="W789" s="235"/>
      <c r="X789" s="235"/>
      <c r="Y789" s="235"/>
      <c r="Z789" s="235"/>
    </row>
    <row r="790">
      <c r="A790" s="235"/>
      <c r="B790" s="235"/>
      <c r="C790" s="342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35"/>
      <c r="W790" s="235"/>
      <c r="X790" s="235"/>
      <c r="Y790" s="235"/>
      <c r="Z790" s="235"/>
    </row>
    <row r="791">
      <c r="A791" s="235"/>
      <c r="B791" s="235"/>
      <c r="C791" s="342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35"/>
      <c r="W791" s="235"/>
      <c r="X791" s="235"/>
      <c r="Y791" s="235"/>
      <c r="Z791" s="235"/>
    </row>
    <row r="792">
      <c r="A792" s="235"/>
      <c r="B792" s="235"/>
      <c r="C792" s="342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35"/>
      <c r="W792" s="235"/>
      <c r="X792" s="235"/>
      <c r="Y792" s="235"/>
      <c r="Z792" s="235"/>
    </row>
    <row r="793">
      <c r="A793" s="235"/>
      <c r="B793" s="235"/>
      <c r="C793" s="342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35"/>
      <c r="W793" s="235"/>
      <c r="X793" s="235"/>
      <c r="Y793" s="235"/>
      <c r="Z793" s="235"/>
    </row>
    <row r="794">
      <c r="A794" s="235"/>
      <c r="B794" s="235"/>
      <c r="C794" s="342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35"/>
      <c r="W794" s="235"/>
      <c r="X794" s="235"/>
      <c r="Y794" s="235"/>
      <c r="Z794" s="235"/>
    </row>
    <row r="795">
      <c r="A795" s="235"/>
      <c r="B795" s="235"/>
      <c r="C795" s="342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35"/>
      <c r="W795" s="235"/>
      <c r="X795" s="235"/>
      <c r="Y795" s="235"/>
      <c r="Z795" s="235"/>
    </row>
    <row r="796">
      <c r="A796" s="235"/>
      <c r="B796" s="235"/>
      <c r="C796" s="342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35"/>
      <c r="W796" s="235"/>
      <c r="X796" s="235"/>
      <c r="Y796" s="235"/>
      <c r="Z796" s="235"/>
    </row>
    <row r="797">
      <c r="A797" s="235"/>
      <c r="B797" s="235"/>
      <c r="C797" s="342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35"/>
      <c r="W797" s="235"/>
      <c r="X797" s="235"/>
      <c r="Y797" s="235"/>
      <c r="Z797" s="235"/>
    </row>
    <row r="798">
      <c r="A798" s="235"/>
      <c r="B798" s="235"/>
      <c r="C798" s="342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35"/>
      <c r="W798" s="235"/>
      <c r="X798" s="235"/>
      <c r="Y798" s="235"/>
      <c r="Z798" s="235"/>
    </row>
    <row r="799">
      <c r="A799" s="235"/>
      <c r="B799" s="235"/>
      <c r="C799" s="342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35"/>
      <c r="W799" s="235"/>
      <c r="X799" s="235"/>
      <c r="Y799" s="235"/>
      <c r="Z799" s="235"/>
    </row>
    <row r="800">
      <c r="A800" s="235"/>
      <c r="B800" s="235"/>
      <c r="C800" s="342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35"/>
      <c r="W800" s="235"/>
      <c r="X800" s="235"/>
      <c r="Y800" s="235"/>
      <c r="Z800" s="235"/>
    </row>
    <row r="801">
      <c r="A801" s="235"/>
      <c r="B801" s="235"/>
      <c r="C801" s="342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35"/>
      <c r="W801" s="235"/>
      <c r="X801" s="235"/>
      <c r="Y801" s="235"/>
      <c r="Z801" s="235"/>
    </row>
    <row r="802">
      <c r="A802" s="235"/>
      <c r="B802" s="235"/>
      <c r="C802" s="342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35"/>
      <c r="W802" s="235"/>
      <c r="X802" s="235"/>
      <c r="Y802" s="235"/>
      <c r="Z802" s="235"/>
    </row>
    <row r="803">
      <c r="A803" s="235"/>
      <c r="B803" s="235"/>
      <c r="C803" s="342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35"/>
      <c r="W803" s="235"/>
      <c r="X803" s="235"/>
      <c r="Y803" s="235"/>
      <c r="Z803" s="235"/>
    </row>
    <row r="804">
      <c r="A804" s="235"/>
      <c r="B804" s="235"/>
      <c r="C804" s="342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35"/>
      <c r="W804" s="235"/>
      <c r="X804" s="235"/>
      <c r="Y804" s="235"/>
      <c r="Z804" s="235"/>
    </row>
    <row r="805">
      <c r="A805" s="235"/>
      <c r="B805" s="235"/>
      <c r="C805" s="342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35"/>
      <c r="W805" s="235"/>
      <c r="X805" s="235"/>
      <c r="Y805" s="235"/>
      <c r="Z805" s="235"/>
    </row>
    <row r="806">
      <c r="A806" s="235"/>
      <c r="B806" s="235"/>
      <c r="C806" s="342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</row>
    <row r="807">
      <c r="A807" s="235"/>
      <c r="B807" s="235"/>
      <c r="C807" s="342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35"/>
      <c r="W807" s="235"/>
      <c r="X807" s="235"/>
      <c r="Y807" s="235"/>
      <c r="Z807" s="235"/>
    </row>
    <row r="808">
      <c r="A808" s="235"/>
      <c r="B808" s="235"/>
      <c r="C808" s="342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35"/>
      <c r="W808" s="235"/>
      <c r="X808" s="235"/>
      <c r="Y808" s="235"/>
      <c r="Z808" s="235"/>
    </row>
    <row r="809">
      <c r="A809" s="235"/>
      <c r="B809" s="235"/>
      <c r="C809" s="342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35"/>
      <c r="W809" s="235"/>
      <c r="X809" s="235"/>
      <c r="Y809" s="235"/>
      <c r="Z809" s="235"/>
    </row>
    <row r="810">
      <c r="A810" s="235"/>
      <c r="B810" s="235"/>
      <c r="C810" s="342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35"/>
      <c r="W810" s="235"/>
      <c r="X810" s="235"/>
      <c r="Y810" s="235"/>
      <c r="Z810" s="235"/>
    </row>
    <row r="811">
      <c r="A811" s="235"/>
      <c r="B811" s="235"/>
      <c r="C811" s="342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35"/>
      <c r="W811" s="235"/>
      <c r="X811" s="235"/>
      <c r="Y811" s="235"/>
      <c r="Z811" s="235"/>
    </row>
    <row r="812">
      <c r="A812" s="235"/>
      <c r="B812" s="235"/>
      <c r="C812" s="342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35"/>
      <c r="W812" s="235"/>
      <c r="X812" s="235"/>
      <c r="Y812" s="235"/>
      <c r="Z812" s="235"/>
    </row>
    <row r="813">
      <c r="A813" s="235"/>
      <c r="B813" s="235"/>
      <c r="C813" s="342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35"/>
      <c r="W813" s="235"/>
      <c r="X813" s="235"/>
      <c r="Y813" s="235"/>
      <c r="Z813" s="235"/>
    </row>
    <row r="814">
      <c r="A814" s="235"/>
      <c r="B814" s="235"/>
      <c r="C814" s="342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35"/>
      <c r="W814" s="235"/>
      <c r="X814" s="235"/>
      <c r="Y814" s="235"/>
      <c r="Z814" s="235"/>
    </row>
    <row r="815">
      <c r="A815" s="235"/>
      <c r="B815" s="235"/>
      <c r="C815" s="342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35"/>
      <c r="W815" s="235"/>
      <c r="X815" s="235"/>
      <c r="Y815" s="235"/>
      <c r="Z815" s="235"/>
    </row>
    <row r="816">
      <c r="A816" s="235"/>
      <c r="B816" s="235"/>
      <c r="C816" s="342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35"/>
      <c r="W816" s="235"/>
      <c r="X816" s="235"/>
      <c r="Y816" s="235"/>
      <c r="Z816" s="235"/>
    </row>
    <row r="817">
      <c r="A817" s="235"/>
      <c r="B817" s="235"/>
      <c r="C817" s="342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35"/>
      <c r="W817" s="235"/>
      <c r="X817" s="235"/>
      <c r="Y817" s="235"/>
      <c r="Z817" s="235"/>
    </row>
    <row r="818">
      <c r="A818" s="235"/>
      <c r="B818" s="235"/>
      <c r="C818" s="342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35"/>
      <c r="W818" s="235"/>
      <c r="X818" s="235"/>
      <c r="Y818" s="235"/>
      <c r="Z818" s="235"/>
    </row>
    <row r="819">
      <c r="A819" s="235"/>
      <c r="B819" s="235"/>
      <c r="C819" s="342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35"/>
      <c r="W819" s="235"/>
      <c r="X819" s="235"/>
      <c r="Y819" s="235"/>
      <c r="Z819" s="235"/>
    </row>
    <row r="820">
      <c r="A820" s="235"/>
      <c r="B820" s="235"/>
      <c r="C820" s="342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35"/>
      <c r="W820" s="235"/>
      <c r="X820" s="235"/>
      <c r="Y820" s="235"/>
      <c r="Z820" s="235"/>
    </row>
    <row r="821">
      <c r="A821" s="235"/>
      <c r="B821" s="235"/>
      <c r="C821" s="342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35"/>
      <c r="W821" s="235"/>
      <c r="X821" s="235"/>
      <c r="Y821" s="235"/>
      <c r="Z821" s="235"/>
    </row>
    <row r="822">
      <c r="A822" s="235"/>
      <c r="B822" s="235"/>
      <c r="C822" s="342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35"/>
      <c r="W822" s="235"/>
      <c r="X822" s="235"/>
      <c r="Y822" s="235"/>
      <c r="Z822" s="235"/>
    </row>
    <row r="823">
      <c r="A823" s="235"/>
      <c r="B823" s="235"/>
      <c r="C823" s="342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35"/>
      <c r="W823" s="235"/>
      <c r="X823" s="235"/>
      <c r="Y823" s="235"/>
      <c r="Z823" s="235"/>
    </row>
    <row r="824">
      <c r="A824" s="235"/>
      <c r="B824" s="235"/>
      <c r="C824" s="342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35"/>
      <c r="W824" s="235"/>
      <c r="X824" s="235"/>
      <c r="Y824" s="235"/>
      <c r="Z824" s="235"/>
    </row>
    <row r="825">
      <c r="A825" s="235"/>
      <c r="B825" s="235"/>
      <c r="C825" s="342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35"/>
      <c r="W825" s="235"/>
      <c r="X825" s="235"/>
      <c r="Y825" s="235"/>
      <c r="Z825" s="235"/>
    </row>
    <row r="826">
      <c r="A826" s="235"/>
      <c r="B826" s="235"/>
      <c r="C826" s="342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35"/>
      <c r="W826" s="235"/>
      <c r="X826" s="235"/>
      <c r="Y826" s="235"/>
      <c r="Z826" s="235"/>
    </row>
    <row r="827">
      <c r="A827" s="235"/>
      <c r="B827" s="235"/>
      <c r="C827" s="342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35"/>
      <c r="W827" s="235"/>
      <c r="X827" s="235"/>
      <c r="Y827" s="235"/>
      <c r="Z827" s="235"/>
    </row>
    <row r="828">
      <c r="A828" s="235"/>
      <c r="B828" s="235"/>
      <c r="C828" s="342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35"/>
      <c r="W828" s="235"/>
      <c r="X828" s="235"/>
      <c r="Y828" s="235"/>
      <c r="Z828" s="235"/>
    </row>
    <row r="829">
      <c r="A829" s="235"/>
      <c r="B829" s="235"/>
      <c r="C829" s="342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35"/>
      <c r="W829" s="235"/>
      <c r="X829" s="235"/>
      <c r="Y829" s="235"/>
      <c r="Z829" s="235"/>
    </row>
    <row r="830">
      <c r="A830" s="235"/>
      <c r="B830" s="235"/>
      <c r="C830" s="342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35"/>
      <c r="W830" s="235"/>
      <c r="X830" s="235"/>
      <c r="Y830" s="235"/>
      <c r="Z830" s="235"/>
    </row>
    <row r="831">
      <c r="A831" s="235"/>
      <c r="B831" s="235"/>
      <c r="C831" s="342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35"/>
      <c r="W831" s="235"/>
      <c r="X831" s="235"/>
      <c r="Y831" s="235"/>
      <c r="Z831" s="235"/>
    </row>
    <row r="832">
      <c r="A832" s="235"/>
      <c r="B832" s="235"/>
      <c r="C832" s="342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35"/>
      <c r="W832" s="235"/>
      <c r="X832" s="235"/>
      <c r="Y832" s="235"/>
      <c r="Z832" s="235"/>
    </row>
    <row r="833">
      <c r="A833" s="235"/>
      <c r="B833" s="235"/>
      <c r="C833" s="342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35"/>
      <c r="W833" s="235"/>
      <c r="X833" s="235"/>
      <c r="Y833" s="235"/>
      <c r="Z833" s="235"/>
    </row>
    <row r="834">
      <c r="A834" s="235"/>
      <c r="B834" s="235"/>
      <c r="C834" s="342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35"/>
      <c r="W834" s="235"/>
      <c r="X834" s="235"/>
      <c r="Y834" s="235"/>
      <c r="Z834" s="235"/>
    </row>
    <row r="835">
      <c r="A835" s="235"/>
      <c r="B835" s="235"/>
      <c r="C835" s="342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35"/>
      <c r="W835" s="235"/>
      <c r="X835" s="235"/>
      <c r="Y835" s="235"/>
      <c r="Z835" s="235"/>
    </row>
    <row r="836">
      <c r="A836" s="235"/>
      <c r="B836" s="235"/>
      <c r="C836" s="342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35"/>
      <c r="W836" s="235"/>
      <c r="X836" s="235"/>
      <c r="Y836" s="235"/>
      <c r="Z836" s="235"/>
    </row>
    <row r="837">
      <c r="A837" s="235"/>
      <c r="B837" s="235"/>
      <c r="C837" s="342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35"/>
      <c r="W837" s="235"/>
      <c r="X837" s="235"/>
      <c r="Y837" s="235"/>
      <c r="Z837" s="235"/>
    </row>
    <row r="838">
      <c r="A838" s="235"/>
      <c r="B838" s="235"/>
      <c r="C838" s="342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35"/>
      <c r="W838" s="235"/>
      <c r="X838" s="235"/>
      <c r="Y838" s="235"/>
      <c r="Z838" s="235"/>
    </row>
    <row r="839">
      <c r="A839" s="235"/>
      <c r="B839" s="235"/>
      <c r="C839" s="342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35"/>
      <c r="W839" s="235"/>
      <c r="X839" s="235"/>
      <c r="Y839" s="235"/>
      <c r="Z839" s="235"/>
    </row>
    <row r="840">
      <c r="A840" s="235"/>
      <c r="B840" s="235"/>
      <c r="C840" s="342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35"/>
      <c r="W840" s="235"/>
      <c r="X840" s="235"/>
      <c r="Y840" s="235"/>
      <c r="Z840" s="235"/>
    </row>
    <row r="841">
      <c r="A841" s="235"/>
      <c r="B841" s="235"/>
      <c r="C841" s="342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35"/>
      <c r="W841" s="235"/>
      <c r="X841" s="235"/>
      <c r="Y841" s="235"/>
      <c r="Z841" s="235"/>
    </row>
    <row r="842">
      <c r="A842" s="235"/>
      <c r="B842" s="235"/>
      <c r="C842" s="342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35"/>
      <c r="W842" s="235"/>
      <c r="X842" s="235"/>
      <c r="Y842" s="235"/>
      <c r="Z842" s="235"/>
    </row>
    <row r="843">
      <c r="A843" s="235"/>
      <c r="B843" s="235"/>
      <c r="C843" s="342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35"/>
      <c r="W843" s="235"/>
      <c r="X843" s="235"/>
      <c r="Y843" s="235"/>
      <c r="Z843" s="235"/>
    </row>
    <row r="844">
      <c r="A844" s="235"/>
      <c r="B844" s="235"/>
      <c r="C844" s="342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35"/>
      <c r="W844" s="235"/>
      <c r="X844" s="235"/>
      <c r="Y844" s="235"/>
      <c r="Z844" s="235"/>
    </row>
    <row r="845">
      <c r="A845" s="235"/>
      <c r="B845" s="235"/>
      <c r="C845" s="342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35"/>
      <c r="W845" s="235"/>
      <c r="X845" s="235"/>
      <c r="Y845" s="235"/>
      <c r="Z845" s="235"/>
    </row>
    <row r="846">
      <c r="A846" s="235"/>
      <c r="B846" s="235"/>
      <c r="C846" s="342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35"/>
      <c r="W846" s="235"/>
      <c r="X846" s="235"/>
      <c r="Y846" s="235"/>
      <c r="Z846" s="235"/>
    </row>
    <row r="847">
      <c r="A847" s="235"/>
      <c r="B847" s="235"/>
      <c r="C847" s="342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35"/>
      <c r="W847" s="235"/>
      <c r="X847" s="235"/>
      <c r="Y847" s="235"/>
      <c r="Z847" s="235"/>
    </row>
    <row r="848">
      <c r="A848" s="235"/>
      <c r="B848" s="235"/>
      <c r="C848" s="342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35"/>
      <c r="W848" s="235"/>
      <c r="X848" s="235"/>
      <c r="Y848" s="235"/>
      <c r="Z848" s="235"/>
    </row>
    <row r="849">
      <c r="A849" s="235"/>
      <c r="B849" s="235"/>
      <c r="C849" s="342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35"/>
      <c r="W849" s="235"/>
      <c r="X849" s="235"/>
      <c r="Y849" s="235"/>
      <c r="Z849" s="235"/>
    </row>
    <row r="850">
      <c r="A850" s="235"/>
      <c r="B850" s="235"/>
      <c r="C850" s="342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35"/>
      <c r="W850" s="235"/>
      <c r="X850" s="235"/>
      <c r="Y850" s="235"/>
      <c r="Z850" s="235"/>
    </row>
    <row r="851">
      <c r="A851" s="235"/>
      <c r="B851" s="235"/>
      <c r="C851" s="342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35"/>
      <c r="W851" s="235"/>
      <c r="X851" s="235"/>
      <c r="Y851" s="235"/>
      <c r="Z851" s="235"/>
    </row>
    <row r="852">
      <c r="A852" s="235"/>
      <c r="B852" s="235"/>
      <c r="C852" s="342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35"/>
      <c r="W852" s="235"/>
      <c r="X852" s="235"/>
      <c r="Y852" s="235"/>
      <c r="Z852" s="235"/>
    </row>
    <row r="853">
      <c r="A853" s="235"/>
      <c r="B853" s="235"/>
      <c r="C853" s="342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35"/>
      <c r="W853" s="235"/>
      <c r="X853" s="235"/>
      <c r="Y853" s="235"/>
      <c r="Z853" s="235"/>
    </row>
    <row r="854">
      <c r="A854" s="235"/>
      <c r="B854" s="235"/>
      <c r="C854" s="342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35"/>
      <c r="W854" s="235"/>
      <c r="X854" s="235"/>
      <c r="Y854" s="235"/>
      <c r="Z854" s="235"/>
    </row>
    <row r="855">
      <c r="A855" s="235"/>
      <c r="B855" s="235"/>
      <c r="C855" s="342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35"/>
      <c r="W855" s="235"/>
      <c r="X855" s="235"/>
      <c r="Y855" s="235"/>
      <c r="Z855" s="235"/>
    </row>
    <row r="856">
      <c r="A856" s="235"/>
      <c r="B856" s="235"/>
      <c r="C856" s="342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35"/>
      <c r="W856" s="235"/>
      <c r="X856" s="235"/>
      <c r="Y856" s="235"/>
      <c r="Z856" s="235"/>
    </row>
    <row r="857">
      <c r="A857" s="235"/>
      <c r="B857" s="235"/>
      <c r="C857" s="342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35"/>
      <c r="W857" s="235"/>
      <c r="X857" s="235"/>
      <c r="Y857" s="235"/>
      <c r="Z857" s="235"/>
    </row>
    <row r="858">
      <c r="A858" s="235"/>
      <c r="B858" s="235"/>
      <c r="C858" s="342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35"/>
      <c r="W858" s="235"/>
      <c r="X858" s="235"/>
      <c r="Y858" s="235"/>
      <c r="Z858" s="235"/>
    </row>
    <row r="859">
      <c r="A859" s="235"/>
      <c r="B859" s="235"/>
      <c r="C859" s="342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35"/>
      <c r="W859" s="235"/>
      <c r="X859" s="235"/>
      <c r="Y859" s="235"/>
      <c r="Z859" s="235"/>
    </row>
    <row r="860">
      <c r="A860" s="235"/>
      <c r="B860" s="235"/>
      <c r="C860" s="342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35"/>
      <c r="W860" s="235"/>
      <c r="X860" s="235"/>
      <c r="Y860" s="235"/>
      <c r="Z860" s="235"/>
    </row>
    <row r="861">
      <c r="A861" s="235"/>
      <c r="B861" s="235"/>
      <c r="C861" s="342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35"/>
      <c r="W861" s="235"/>
      <c r="X861" s="235"/>
      <c r="Y861" s="235"/>
      <c r="Z861" s="235"/>
    </row>
    <row r="862">
      <c r="A862" s="235"/>
      <c r="B862" s="235"/>
      <c r="C862" s="342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35"/>
      <c r="W862" s="235"/>
      <c r="X862" s="235"/>
      <c r="Y862" s="235"/>
      <c r="Z862" s="235"/>
    </row>
    <row r="863">
      <c r="A863" s="235"/>
      <c r="B863" s="235"/>
      <c r="C863" s="342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35"/>
      <c r="W863" s="235"/>
      <c r="X863" s="235"/>
      <c r="Y863" s="235"/>
      <c r="Z863" s="235"/>
    </row>
    <row r="864">
      <c r="A864" s="235"/>
      <c r="B864" s="235"/>
      <c r="C864" s="342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35"/>
      <c r="W864" s="235"/>
      <c r="X864" s="235"/>
      <c r="Y864" s="235"/>
      <c r="Z864" s="235"/>
    </row>
    <row r="865">
      <c r="A865" s="235"/>
      <c r="B865" s="235"/>
      <c r="C865" s="342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35"/>
      <c r="W865" s="235"/>
      <c r="X865" s="235"/>
      <c r="Y865" s="235"/>
      <c r="Z865" s="235"/>
    </row>
    <row r="866">
      <c r="A866" s="235"/>
      <c r="B866" s="235"/>
      <c r="C866" s="342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35"/>
      <c r="W866" s="235"/>
      <c r="X866" s="235"/>
      <c r="Y866" s="235"/>
      <c r="Z866" s="235"/>
    </row>
    <row r="867">
      <c r="A867" s="235"/>
      <c r="B867" s="235"/>
      <c r="C867" s="342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35"/>
      <c r="W867" s="235"/>
      <c r="X867" s="235"/>
      <c r="Y867" s="235"/>
      <c r="Z867" s="235"/>
    </row>
    <row r="868">
      <c r="A868" s="235"/>
      <c r="B868" s="235"/>
      <c r="C868" s="342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35"/>
      <c r="W868" s="235"/>
      <c r="X868" s="235"/>
      <c r="Y868" s="235"/>
      <c r="Z868" s="235"/>
    </row>
    <row r="869">
      <c r="A869" s="235"/>
      <c r="B869" s="235"/>
      <c r="C869" s="342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35"/>
      <c r="W869" s="235"/>
      <c r="X869" s="235"/>
      <c r="Y869" s="235"/>
      <c r="Z869" s="235"/>
    </row>
    <row r="870">
      <c r="A870" s="235"/>
      <c r="B870" s="235"/>
      <c r="C870" s="342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35"/>
      <c r="W870" s="235"/>
      <c r="X870" s="235"/>
      <c r="Y870" s="235"/>
      <c r="Z870" s="235"/>
    </row>
    <row r="871">
      <c r="A871" s="235"/>
      <c r="B871" s="235"/>
      <c r="C871" s="342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35"/>
      <c r="W871" s="235"/>
      <c r="X871" s="235"/>
      <c r="Y871" s="235"/>
      <c r="Z871" s="235"/>
    </row>
    <row r="872">
      <c r="A872" s="235"/>
      <c r="B872" s="235"/>
      <c r="C872" s="342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35"/>
      <c r="W872" s="235"/>
      <c r="X872" s="235"/>
      <c r="Y872" s="235"/>
      <c r="Z872" s="235"/>
    </row>
    <row r="873">
      <c r="A873" s="235"/>
      <c r="B873" s="235"/>
      <c r="C873" s="342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35"/>
      <c r="W873" s="235"/>
      <c r="X873" s="235"/>
      <c r="Y873" s="235"/>
      <c r="Z873" s="235"/>
    </row>
    <row r="874">
      <c r="A874" s="235"/>
      <c r="B874" s="235"/>
      <c r="C874" s="342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35"/>
      <c r="W874" s="235"/>
      <c r="X874" s="235"/>
      <c r="Y874" s="235"/>
      <c r="Z874" s="235"/>
    </row>
    <row r="875">
      <c r="A875" s="235"/>
      <c r="B875" s="235"/>
      <c r="C875" s="342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35"/>
      <c r="W875" s="235"/>
      <c r="X875" s="235"/>
      <c r="Y875" s="235"/>
      <c r="Z875" s="235"/>
    </row>
    <row r="876">
      <c r="A876" s="235"/>
      <c r="B876" s="235"/>
      <c r="C876" s="342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35"/>
      <c r="W876" s="235"/>
      <c r="X876" s="235"/>
      <c r="Y876" s="235"/>
      <c r="Z876" s="235"/>
    </row>
    <row r="877">
      <c r="A877" s="235"/>
      <c r="B877" s="235"/>
      <c r="C877" s="342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35"/>
      <c r="W877" s="235"/>
      <c r="X877" s="235"/>
      <c r="Y877" s="235"/>
      <c r="Z877" s="235"/>
    </row>
    <row r="878">
      <c r="A878" s="235"/>
      <c r="B878" s="235"/>
      <c r="C878" s="342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35"/>
      <c r="W878" s="235"/>
      <c r="X878" s="235"/>
      <c r="Y878" s="235"/>
      <c r="Z878" s="235"/>
    </row>
    <row r="879">
      <c r="A879" s="235"/>
      <c r="B879" s="235"/>
      <c r="C879" s="342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35"/>
      <c r="W879" s="235"/>
      <c r="X879" s="235"/>
      <c r="Y879" s="235"/>
      <c r="Z879" s="235"/>
    </row>
    <row r="880">
      <c r="A880" s="235"/>
      <c r="B880" s="235"/>
      <c r="C880" s="342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35"/>
      <c r="W880" s="235"/>
      <c r="X880" s="235"/>
      <c r="Y880" s="235"/>
      <c r="Z880" s="235"/>
    </row>
    <row r="881">
      <c r="A881" s="235"/>
      <c r="B881" s="235"/>
      <c r="C881" s="342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35"/>
      <c r="W881" s="235"/>
      <c r="X881" s="235"/>
      <c r="Y881" s="235"/>
      <c r="Z881" s="235"/>
    </row>
    <row r="882">
      <c r="A882" s="235"/>
      <c r="B882" s="235"/>
      <c r="C882" s="342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35"/>
      <c r="W882" s="235"/>
      <c r="X882" s="235"/>
      <c r="Y882" s="235"/>
      <c r="Z882" s="235"/>
    </row>
    <row r="883">
      <c r="A883" s="235"/>
      <c r="B883" s="235"/>
      <c r="C883" s="342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35"/>
      <c r="W883" s="235"/>
      <c r="X883" s="235"/>
      <c r="Y883" s="235"/>
      <c r="Z883" s="235"/>
    </row>
    <row r="884">
      <c r="A884" s="235"/>
      <c r="B884" s="235"/>
      <c r="C884" s="342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35"/>
      <c r="W884" s="235"/>
      <c r="X884" s="235"/>
      <c r="Y884" s="235"/>
      <c r="Z884" s="235"/>
    </row>
    <row r="885">
      <c r="A885" s="235"/>
      <c r="B885" s="235"/>
      <c r="C885" s="342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35"/>
      <c r="W885" s="235"/>
      <c r="X885" s="235"/>
      <c r="Y885" s="235"/>
      <c r="Z885" s="235"/>
    </row>
    <row r="886">
      <c r="A886" s="235"/>
      <c r="B886" s="235"/>
      <c r="C886" s="342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35"/>
      <c r="W886" s="235"/>
      <c r="X886" s="235"/>
      <c r="Y886" s="235"/>
      <c r="Z886" s="235"/>
    </row>
    <row r="887">
      <c r="A887" s="235"/>
      <c r="B887" s="235"/>
      <c r="C887" s="342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35"/>
      <c r="W887" s="235"/>
      <c r="X887" s="235"/>
      <c r="Y887" s="235"/>
      <c r="Z887" s="235"/>
    </row>
    <row r="888">
      <c r="A888" s="235"/>
      <c r="B888" s="235"/>
      <c r="C888" s="342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35"/>
      <c r="W888" s="235"/>
      <c r="X888" s="235"/>
      <c r="Y888" s="235"/>
      <c r="Z888" s="235"/>
    </row>
    <row r="889">
      <c r="A889" s="235"/>
      <c r="B889" s="235"/>
      <c r="C889" s="342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35"/>
      <c r="W889" s="235"/>
      <c r="X889" s="235"/>
      <c r="Y889" s="235"/>
      <c r="Z889" s="235"/>
    </row>
    <row r="890">
      <c r="A890" s="235"/>
      <c r="B890" s="235"/>
      <c r="C890" s="342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35"/>
      <c r="W890" s="235"/>
      <c r="X890" s="235"/>
      <c r="Y890" s="235"/>
      <c r="Z890" s="235"/>
    </row>
    <row r="891">
      <c r="A891" s="235"/>
      <c r="B891" s="235"/>
      <c r="C891" s="342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35"/>
      <c r="W891" s="235"/>
      <c r="X891" s="235"/>
      <c r="Y891" s="235"/>
      <c r="Z891" s="235"/>
    </row>
    <row r="892">
      <c r="A892" s="235"/>
      <c r="B892" s="235"/>
      <c r="C892" s="342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35"/>
      <c r="W892" s="235"/>
      <c r="X892" s="235"/>
      <c r="Y892" s="235"/>
      <c r="Z892" s="235"/>
    </row>
    <row r="893">
      <c r="A893" s="235"/>
      <c r="B893" s="235"/>
      <c r="C893" s="342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35"/>
      <c r="W893" s="235"/>
      <c r="X893" s="235"/>
      <c r="Y893" s="235"/>
      <c r="Z893" s="235"/>
    </row>
    <row r="894">
      <c r="A894" s="235"/>
      <c r="B894" s="235"/>
      <c r="C894" s="342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35"/>
      <c r="W894" s="235"/>
      <c r="X894" s="235"/>
      <c r="Y894" s="235"/>
      <c r="Z894" s="235"/>
    </row>
    <row r="895">
      <c r="A895" s="235"/>
      <c r="B895" s="235"/>
      <c r="C895" s="342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</row>
    <row r="896">
      <c r="A896" s="235"/>
      <c r="B896" s="235"/>
      <c r="C896" s="342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35"/>
      <c r="W896" s="235"/>
      <c r="X896" s="235"/>
      <c r="Y896" s="235"/>
      <c r="Z896" s="235"/>
    </row>
    <row r="897">
      <c r="A897" s="235"/>
      <c r="B897" s="235"/>
      <c r="C897" s="342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35"/>
      <c r="W897" s="235"/>
      <c r="X897" s="235"/>
      <c r="Y897" s="235"/>
      <c r="Z897" s="235"/>
    </row>
    <row r="898">
      <c r="A898" s="235"/>
      <c r="B898" s="235"/>
      <c r="C898" s="342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35"/>
      <c r="W898" s="235"/>
      <c r="X898" s="235"/>
      <c r="Y898" s="235"/>
      <c r="Z898" s="235"/>
    </row>
    <row r="899">
      <c r="A899" s="235"/>
      <c r="B899" s="235"/>
      <c r="C899" s="342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35"/>
      <c r="W899" s="235"/>
      <c r="X899" s="235"/>
      <c r="Y899" s="235"/>
      <c r="Z899" s="235"/>
    </row>
    <row r="900">
      <c r="A900" s="235"/>
      <c r="B900" s="235"/>
      <c r="C900" s="342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35"/>
      <c r="W900" s="235"/>
      <c r="X900" s="235"/>
      <c r="Y900" s="235"/>
      <c r="Z900" s="235"/>
    </row>
    <row r="901">
      <c r="A901" s="235"/>
      <c r="B901" s="235"/>
      <c r="C901" s="342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35"/>
      <c r="W901" s="235"/>
      <c r="X901" s="235"/>
      <c r="Y901" s="235"/>
      <c r="Z901" s="235"/>
    </row>
    <row r="902">
      <c r="A902" s="235"/>
      <c r="B902" s="235"/>
      <c r="C902" s="342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35"/>
      <c r="W902" s="235"/>
      <c r="X902" s="235"/>
      <c r="Y902" s="235"/>
      <c r="Z902" s="235"/>
    </row>
    <row r="903">
      <c r="A903" s="235"/>
      <c r="B903" s="235"/>
      <c r="C903" s="342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35"/>
      <c r="W903" s="235"/>
      <c r="X903" s="235"/>
      <c r="Y903" s="235"/>
      <c r="Z903" s="235"/>
    </row>
    <row r="904">
      <c r="A904" s="235"/>
      <c r="B904" s="235"/>
      <c r="C904" s="342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35"/>
      <c r="W904" s="235"/>
      <c r="X904" s="235"/>
      <c r="Y904" s="235"/>
      <c r="Z904" s="235"/>
    </row>
    <row r="905">
      <c r="A905" s="235"/>
      <c r="B905" s="235"/>
      <c r="C905" s="342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35"/>
      <c r="W905" s="235"/>
      <c r="X905" s="235"/>
      <c r="Y905" s="235"/>
      <c r="Z905" s="235"/>
    </row>
    <row r="906">
      <c r="A906" s="235"/>
      <c r="B906" s="235"/>
      <c r="C906" s="342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35"/>
      <c r="W906" s="235"/>
      <c r="X906" s="235"/>
      <c r="Y906" s="235"/>
      <c r="Z906" s="235"/>
    </row>
    <row r="907">
      <c r="A907" s="235"/>
      <c r="B907" s="235"/>
      <c r="C907" s="342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35"/>
      <c r="W907" s="235"/>
      <c r="X907" s="235"/>
      <c r="Y907" s="235"/>
      <c r="Z907" s="235"/>
    </row>
    <row r="908">
      <c r="A908" s="235"/>
      <c r="B908" s="235"/>
      <c r="C908" s="342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35"/>
      <c r="W908" s="235"/>
      <c r="X908" s="235"/>
      <c r="Y908" s="235"/>
      <c r="Z908" s="235"/>
    </row>
    <row r="909">
      <c r="A909" s="235"/>
      <c r="B909" s="235"/>
      <c r="C909" s="342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35"/>
      <c r="W909" s="235"/>
      <c r="X909" s="235"/>
      <c r="Y909" s="235"/>
      <c r="Z909" s="235"/>
    </row>
    <row r="910">
      <c r="A910" s="235"/>
      <c r="B910" s="235"/>
      <c r="C910" s="342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35"/>
      <c r="W910" s="235"/>
      <c r="X910" s="235"/>
      <c r="Y910" s="235"/>
      <c r="Z910" s="235"/>
    </row>
    <row r="911">
      <c r="A911" s="235"/>
      <c r="B911" s="235"/>
      <c r="C911" s="342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35"/>
      <c r="W911" s="235"/>
      <c r="X911" s="235"/>
      <c r="Y911" s="235"/>
      <c r="Z911" s="235"/>
    </row>
    <row r="912">
      <c r="A912" s="235"/>
      <c r="B912" s="235"/>
      <c r="C912" s="342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35"/>
      <c r="W912" s="235"/>
      <c r="X912" s="235"/>
      <c r="Y912" s="235"/>
      <c r="Z912" s="235"/>
    </row>
    <row r="913">
      <c r="A913" s="235"/>
      <c r="B913" s="235"/>
      <c r="C913" s="342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35"/>
      <c r="W913" s="235"/>
      <c r="X913" s="235"/>
      <c r="Y913" s="235"/>
      <c r="Z913" s="235"/>
    </row>
    <row r="914">
      <c r="A914" s="235"/>
      <c r="B914" s="235"/>
      <c r="C914" s="342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35"/>
      <c r="W914" s="235"/>
      <c r="X914" s="235"/>
      <c r="Y914" s="235"/>
      <c r="Z914" s="235"/>
    </row>
    <row r="915">
      <c r="A915" s="235"/>
      <c r="B915" s="235"/>
      <c r="C915" s="342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35"/>
      <c r="W915" s="235"/>
      <c r="X915" s="235"/>
      <c r="Y915" s="235"/>
      <c r="Z915" s="235"/>
    </row>
    <row r="916">
      <c r="A916" s="235"/>
      <c r="B916" s="235"/>
      <c r="C916" s="342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35"/>
      <c r="W916" s="235"/>
      <c r="X916" s="235"/>
      <c r="Y916" s="235"/>
      <c r="Z916" s="235"/>
    </row>
    <row r="917">
      <c r="A917" s="235"/>
      <c r="B917" s="235"/>
      <c r="C917" s="342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35"/>
      <c r="W917" s="235"/>
      <c r="X917" s="235"/>
      <c r="Y917" s="235"/>
      <c r="Z917" s="235"/>
    </row>
    <row r="918">
      <c r="A918" s="235"/>
      <c r="B918" s="235"/>
      <c r="C918" s="342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35"/>
      <c r="W918" s="235"/>
      <c r="X918" s="235"/>
      <c r="Y918" s="235"/>
      <c r="Z918" s="235"/>
    </row>
    <row r="919">
      <c r="A919" s="235"/>
      <c r="B919" s="235"/>
      <c r="C919" s="342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35"/>
      <c r="W919" s="235"/>
      <c r="X919" s="235"/>
      <c r="Y919" s="235"/>
      <c r="Z919" s="235"/>
    </row>
    <row r="920">
      <c r="A920" s="235"/>
      <c r="B920" s="235"/>
      <c r="C920" s="342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35"/>
      <c r="W920" s="235"/>
      <c r="X920" s="235"/>
      <c r="Y920" s="235"/>
      <c r="Z920" s="235"/>
    </row>
    <row r="921">
      <c r="A921" s="235"/>
      <c r="B921" s="235"/>
      <c r="C921" s="342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35"/>
      <c r="W921" s="235"/>
      <c r="X921" s="235"/>
      <c r="Y921" s="235"/>
      <c r="Z921" s="235"/>
    </row>
    <row r="922">
      <c r="A922" s="235"/>
      <c r="B922" s="235"/>
      <c r="C922" s="342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35"/>
      <c r="W922" s="235"/>
      <c r="X922" s="235"/>
      <c r="Y922" s="235"/>
      <c r="Z922" s="235"/>
    </row>
    <row r="923">
      <c r="A923" s="235"/>
      <c r="B923" s="235"/>
      <c r="C923" s="342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35"/>
      <c r="W923" s="235"/>
      <c r="X923" s="235"/>
      <c r="Y923" s="235"/>
      <c r="Z923" s="235"/>
    </row>
    <row r="924">
      <c r="A924" s="235"/>
      <c r="B924" s="235"/>
      <c r="C924" s="342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35"/>
      <c r="W924" s="235"/>
      <c r="X924" s="235"/>
      <c r="Y924" s="235"/>
      <c r="Z924" s="235"/>
    </row>
    <row r="925">
      <c r="A925" s="235"/>
      <c r="B925" s="235"/>
      <c r="C925" s="342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35"/>
      <c r="W925" s="235"/>
      <c r="X925" s="235"/>
      <c r="Y925" s="235"/>
      <c r="Z925" s="235"/>
    </row>
    <row r="926">
      <c r="A926" s="235"/>
      <c r="B926" s="235"/>
      <c r="C926" s="342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35"/>
      <c r="W926" s="235"/>
      <c r="X926" s="235"/>
      <c r="Y926" s="235"/>
      <c r="Z926" s="235"/>
    </row>
    <row r="927">
      <c r="A927" s="235"/>
      <c r="B927" s="235"/>
      <c r="C927" s="342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35"/>
      <c r="W927" s="235"/>
      <c r="X927" s="235"/>
      <c r="Y927" s="235"/>
      <c r="Z927" s="235"/>
    </row>
    <row r="928">
      <c r="A928" s="235"/>
      <c r="B928" s="235"/>
      <c r="C928" s="342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35"/>
      <c r="W928" s="235"/>
      <c r="X928" s="235"/>
      <c r="Y928" s="235"/>
      <c r="Z928" s="235"/>
    </row>
    <row r="929">
      <c r="A929" s="235"/>
      <c r="B929" s="235"/>
      <c r="C929" s="342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35"/>
      <c r="W929" s="235"/>
      <c r="X929" s="235"/>
      <c r="Y929" s="235"/>
      <c r="Z929" s="235"/>
    </row>
    <row r="930">
      <c r="A930" s="235"/>
      <c r="B930" s="235"/>
      <c r="C930" s="342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35"/>
      <c r="W930" s="235"/>
      <c r="X930" s="235"/>
      <c r="Y930" s="235"/>
      <c r="Z930" s="235"/>
    </row>
    <row r="931">
      <c r="A931" s="235"/>
      <c r="B931" s="235"/>
      <c r="C931" s="342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35"/>
      <c r="W931" s="235"/>
      <c r="X931" s="235"/>
      <c r="Y931" s="235"/>
      <c r="Z931" s="235"/>
    </row>
    <row r="932">
      <c r="A932" s="235"/>
      <c r="B932" s="235"/>
      <c r="C932" s="342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35"/>
      <c r="W932" s="235"/>
      <c r="X932" s="235"/>
      <c r="Y932" s="235"/>
      <c r="Z932" s="235"/>
    </row>
    <row r="933">
      <c r="A933" s="235"/>
      <c r="B933" s="235"/>
      <c r="C933" s="342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35"/>
      <c r="W933" s="235"/>
      <c r="X933" s="235"/>
      <c r="Y933" s="235"/>
      <c r="Z933" s="235"/>
    </row>
    <row r="934">
      <c r="A934" s="235"/>
      <c r="B934" s="235"/>
      <c r="C934" s="342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35"/>
      <c r="W934" s="235"/>
      <c r="X934" s="235"/>
      <c r="Y934" s="235"/>
      <c r="Z934" s="235"/>
    </row>
    <row r="935">
      <c r="A935" s="235"/>
      <c r="B935" s="235"/>
      <c r="C935" s="342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35"/>
      <c r="W935" s="235"/>
      <c r="X935" s="235"/>
      <c r="Y935" s="235"/>
      <c r="Z935" s="235"/>
    </row>
    <row r="936">
      <c r="A936" s="235"/>
      <c r="B936" s="235"/>
      <c r="C936" s="342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35"/>
      <c r="W936" s="235"/>
      <c r="X936" s="235"/>
      <c r="Y936" s="235"/>
      <c r="Z936" s="235"/>
    </row>
    <row r="937">
      <c r="A937" s="235"/>
      <c r="B937" s="235"/>
      <c r="C937" s="342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35"/>
      <c r="W937" s="235"/>
      <c r="X937" s="235"/>
      <c r="Y937" s="235"/>
      <c r="Z937" s="235"/>
    </row>
    <row r="938">
      <c r="A938" s="235"/>
      <c r="B938" s="235"/>
      <c r="C938" s="342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35"/>
      <c r="W938" s="235"/>
      <c r="X938" s="235"/>
      <c r="Y938" s="235"/>
      <c r="Z938" s="235"/>
    </row>
    <row r="939">
      <c r="A939" s="235"/>
      <c r="B939" s="235"/>
      <c r="C939" s="342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35"/>
      <c r="W939" s="235"/>
      <c r="X939" s="235"/>
      <c r="Y939" s="235"/>
      <c r="Z939" s="235"/>
    </row>
    <row r="940">
      <c r="A940" s="235"/>
      <c r="B940" s="235"/>
      <c r="C940" s="342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35"/>
      <c r="W940" s="235"/>
      <c r="X940" s="235"/>
      <c r="Y940" s="235"/>
      <c r="Z940" s="235"/>
    </row>
    <row r="941">
      <c r="A941" s="235"/>
      <c r="B941" s="235"/>
      <c r="C941" s="342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35"/>
      <c r="W941" s="235"/>
      <c r="X941" s="235"/>
      <c r="Y941" s="235"/>
      <c r="Z941" s="235"/>
    </row>
    <row r="942">
      <c r="A942" s="235"/>
      <c r="B942" s="235"/>
      <c r="C942" s="342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35"/>
      <c r="W942" s="235"/>
      <c r="X942" s="235"/>
      <c r="Y942" s="235"/>
      <c r="Z942" s="235"/>
    </row>
    <row r="943">
      <c r="A943" s="235"/>
      <c r="B943" s="235"/>
      <c r="C943" s="342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35"/>
      <c r="W943" s="235"/>
      <c r="X943" s="235"/>
      <c r="Y943" s="235"/>
      <c r="Z943" s="235"/>
    </row>
    <row r="944">
      <c r="A944" s="235"/>
      <c r="B944" s="235"/>
      <c r="C944" s="342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35"/>
      <c r="W944" s="235"/>
      <c r="X944" s="235"/>
      <c r="Y944" s="235"/>
      <c r="Z944" s="235"/>
    </row>
    <row r="945">
      <c r="A945" s="235"/>
      <c r="B945" s="235"/>
      <c r="C945" s="342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35"/>
      <c r="W945" s="235"/>
      <c r="X945" s="235"/>
      <c r="Y945" s="235"/>
      <c r="Z945" s="235"/>
    </row>
    <row r="946">
      <c r="A946" s="235"/>
      <c r="B946" s="235"/>
      <c r="C946" s="342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35"/>
      <c r="W946" s="235"/>
      <c r="X946" s="235"/>
      <c r="Y946" s="235"/>
      <c r="Z946" s="235"/>
    </row>
    <row r="947">
      <c r="A947" s="235"/>
      <c r="B947" s="235"/>
      <c r="C947" s="342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35"/>
      <c r="W947" s="235"/>
      <c r="X947" s="235"/>
      <c r="Y947" s="235"/>
      <c r="Z947" s="235"/>
    </row>
    <row r="948">
      <c r="A948" s="235"/>
      <c r="B948" s="235"/>
      <c r="C948" s="342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35"/>
      <c r="W948" s="235"/>
      <c r="X948" s="235"/>
      <c r="Y948" s="235"/>
      <c r="Z948" s="235"/>
    </row>
    <row r="949">
      <c r="A949" s="235"/>
      <c r="B949" s="235"/>
      <c r="C949" s="342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35"/>
      <c r="W949" s="235"/>
      <c r="X949" s="235"/>
      <c r="Y949" s="235"/>
      <c r="Z949" s="235"/>
    </row>
    <row r="950">
      <c r="A950" s="235"/>
      <c r="B950" s="235"/>
      <c r="C950" s="342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35"/>
      <c r="W950" s="235"/>
      <c r="X950" s="235"/>
      <c r="Y950" s="235"/>
      <c r="Z950" s="235"/>
    </row>
    <row r="951">
      <c r="A951" s="235"/>
      <c r="B951" s="235"/>
      <c r="C951" s="342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35"/>
      <c r="W951" s="235"/>
      <c r="X951" s="235"/>
      <c r="Y951" s="235"/>
      <c r="Z951" s="235"/>
    </row>
    <row r="952">
      <c r="A952" s="235"/>
      <c r="B952" s="235"/>
      <c r="C952" s="342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35"/>
      <c r="W952" s="235"/>
      <c r="X952" s="235"/>
      <c r="Y952" s="235"/>
      <c r="Z952" s="235"/>
    </row>
    <row r="953">
      <c r="A953" s="235"/>
      <c r="B953" s="235"/>
      <c r="C953" s="342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35"/>
      <c r="W953" s="235"/>
      <c r="X953" s="235"/>
      <c r="Y953" s="235"/>
      <c r="Z953" s="235"/>
    </row>
    <row r="954">
      <c r="A954" s="235"/>
      <c r="B954" s="235"/>
      <c r="C954" s="342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35"/>
      <c r="W954" s="235"/>
      <c r="X954" s="235"/>
      <c r="Y954" s="235"/>
      <c r="Z954" s="235"/>
    </row>
    <row r="955">
      <c r="A955" s="235"/>
      <c r="B955" s="235"/>
      <c r="C955" s="342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35"/>
      <c r="W955" s="235"/>
      <c r="X955" s="235"/>
      <c r="Y955" s="235"/>
      <c r="Z955" s="235"/>
    </row>
    <row r="956">
      <c r="A956" s="235"/>
      <c r="B956" s="235"/>
      <c r="C956" s="342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35"/>
      <c r="W956" s="235"/>
      <c r="X956" s="235"/>
      <c r="Y956" s="235"/>
      <c r="Z956" s="235"/>
    </row>
    <row r="957">
      <c r="A957" s="235"/>
      <c r="B957" s="235"/>
      <c r="C957" s="342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35"/>
      <c r="W957" s="235"/>
      <c r="X957" s="235"/>
      <c r="Y957" s="235"/>
      <c r="Z957" s="235"/>
    </row>
    <row r="958">
      <c r="A958" s="235"/>
      <c r="B958" s="235"/>
      <c r="C958" s="342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35"/>
      <c r="W958" s="235"/>
      <c r="X958" s="235"/>
      <c r="Y958" s="235"/>
      <c r="Z958" s="235"/>
    </row>
    <row r="959">
      <c r="A959" s="235"/>
      <c r="B959" s="235"/>
      <c r="C959" s="342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35"/>
      <c r="W959" s="235"/>
      <c r="X959" s="235"/>
      <c r="Y959" s="235"/>
      <c r="Z959" s="235"/>
    </row>
    <row r="960">
      <c r="A960" s="235"/>
      <c r="B960" s="235"/>
      <c r="C960" s="342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35"/>
      <c r="W960" s="235"/>
      <c r="X960" s="235"/>
      <c r="Y960" s="235"/>
      <c r="Z960" s="235"/>
    </row>
    <row r="961">
      <c r="A961" s="235"/>
      <c r="B961" s="235"/>
      <c r="C961" s="342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35"/>
      <c r="W961" s="235"/>
      <c r="X961" s="235"/>
      <c r="Y961" s="235"/>
      <c r="Z961" s="235"/>
    </row>
    <row r="962">
      <c r="A962" s="235"/>
      <c r="B962" s="235"/>
      <c r="C962" s="342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35"/>
      <c r="W962" s="235"/>
      <c r="X962" s="235"/>
      <c r="Y962" s="235"/>
      <c r="Z962" s="235"/>
    </row>
    <row r="963">
      <c r="A963" s="235"/>
      <c r="B963" s="235"/>
      <c r="C963" s="342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35"/>
      <c r="W963" s="235"/>
      <c r="X963" s="235"/>
      <c r="Y963" s="235"/>
      <c r="Z963" s="235"/>
    </row>
    <row r="964">
      <c r="A964" s="235"/>
      <c r="B964" s="235"/>
      <c r="C964" s="342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35"/>
      <c r="W964" s="235"/>
      <c r="X964" s="235"/>
      <c r="Y964" s="235"/>
      <c r="Z964" s="235"/>
    </row>
    <row r="965">
      <c r="A965" s="235"/>
      <c r="B965" s="235"/>
      <c r="C965" s="342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35"/>
      <c r="W965" s="235"/>
      <c r="X965" s="235"/>
      <c r="Y965" s="235"/>
      <c r="Z965" s="235"/>
    </row>
    <row r="966">
      <c r="A966" s="235"/>
      <c r="B966" s="235"/>
      <c r="C966" s="342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35"/>
      <c r="W966" s="235"/>
      <c r="X966" s="235"/>
      <c r="Y966" s="235"/>
      <c r="Z966" s="235"/>
    </row>
    <row r="967">
      <c r="A967" s="235"/>
      <c r="B967" s="235"/>
      <c r="C967" s="342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35"/>
      <c r="W967" s="235"/>
      <c r="X967" s="235"/>
      <c r="Y967" s="235"/>
      <c r="Z967" s="235"/>
    </row>
    <row r="968">
      <c r="A968" s="235"/>
      <c r="B968" s="235"/>
      <c r="C968" s="342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35"/>
      <c r="W968" s="235"/>
      <c r="X968" s="235"/>
      <c r="Y968" s="235"/>
      <c r="Z968" s="235"/>
    </row>
    <row r="969">
      <c r="A969" s="235"/>
      <c r="B969" s="235"/>
      <c r="C969" s="342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35"/>
      <c r="W969" s="235"/>
      <c r="X969" s="235"/>
      <c r="Y969" s="235"/>
      <c r="Z969" s="235"/>
    </row>
    <row r="970">
      <c r="A970" s="235"/>
      <c r="B970" s="235"/>
      <c r="C970" s="342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35"/>
      <c r="W970" s="235"/>
      <c r="X970" s="235"/>
      <c r="Y970" s="235"/>
      <c r="Z970" s="235"/>
    </row>
    <row r="971">
      <c r="A971" s="235"/>
      <c r="B971" s="235"/>
      <c r="C971" s="342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35"/>
      <c r="W971" s="235"/>
      <c r="X971" s="235"/>
      <c r="Y971" s="235"/>
      <c r="Z971" s="235"/>
    </row>
    <row r="972">
      <c r="A972" s="235"/>
      <c r="B972" s="235"/>
      <c r="C972" s="342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35"/>
      <c r="W972" s="235"/>
      <c r="X972" s="235"/>
      <c r="Y972" s="235"/>
      <c r="Z972" s="235"/>
    </row>
    <row r="973">
      <c r="A973" s="235"/>
      <c r="B973" s="235"/>
      <c r="C973" s="342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35"/>
      <c r="W973" s="235"/>
      <c r="X973" s="235"/>
      <c r="Y973" s="235"/>
      <c r="Z973" s="235"/>
    </row>
    <row r="974">
      <c r="A974" s="235"/>
      <c r="B974" s="235"/>
      <c r="C974" s="342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35"/>
      <c r="W974" s="235"/>
      <c r="X974" s="235"/>
      <c r="Y974" s="235"/>
      <c r="Z974" s="235"/>
    </row>
    <row r="975">
      <c r="A975" s="235"/>
      <c r="B975" s="235"/>
      <c r="C975" s="342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35"/>
      <c r="W975" s="235"/>
      <c r="X975" s="235"/>
      <c r="Y975" s="235"/>
      <c r="Z975" s="235"/>
    </row>
    <row r="976">
      <c r="A976" s="235"/>
      <c r="B976" s="235"/>
      <c r="C976" s="342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35"/>
      <c r="W976" s="235"/>
      <c r="X976" s="235"/>
      <c r="Y976" s="235"/>
      <c r="Z976" s="235"/>
    </row>
    <row r="977">
      <c r="A977" s="235"/>
      <c r="B977" s="235"/>
      <c r="C977" s="342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35"/>
      <c r="W977" s="235"/>
      <c r="X977" s="235"/>
      <c r="Y977" s="235"/>
      <c r="Z977" s="235"/>
    </row>
    <row r="978">
      <c r="A978" s="235"/>
      <c r="B978" s="235"/>
      <c r="C978" s="342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35"/>
      <c r="W978" s="235"/>
      <c r="X978" s="235"/>
      <c r="Y978" s="235"/>
      <c r="Z978" s="235"/>
    </row>
    <row r="979">
      <c r="A979" s="235"/>
      <c r="B979" s="235"/>
      <c r="C979" s="342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35"/>
      <c r="W979" s="235"/>
      <c r="X979" s="235"/>
      <c r="Y979" s="235"/>
      <c r="Z979" s="235"/>
    </row>
    <row r="980">
      <c r="A980" s="235"/>
      <c r="B980" s="235"/>
      <c r="C980" s="342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35"/>
      <c r="W980" s="235"/>
      <c r="X980" s="235"/>
      <c r="Y980" s="235"/>
      <c r="Z980" s="235"/>
    </row>
    <row r="981">
      <c r="A981" s="235"/>
      <c r="B981" s="235"/>
      <c r="C981" s="342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35"/>
      <c r="W981" s="235"/>
      <c r="X981" s="235"/>
      <c r="Y981" s="235"/>
      <c r="Z981" s="235"/>
    </row>
    <row r="982">
      <c r="A982" s="235"/>
      <c r="B982" s="235"/>
      <c r="C982" s="342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35"/>
      <c r="W982" s="235"/>
      <c r="X982" s="235"/>
      <c r="Y982" s="235"/>
      <c r="Z982" s="235"/>
    </row>
    <row r="983">
      <c r="A983" s="235"/>
      <c r="B983" s="235"/>
      <c r="C983" s="342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35"/>
      <c r="W983" s="235"/>
      <c r="X983" s="235"/>
      <c r="Y983" s="235"/>
      <c r="Z983" s="235"/>
    </row>
    <row r="984">
      <c r="A984" s="235"/>
      <c r="B984" s="235"/>
      <c r="C984" s="342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35"/>
      <c r="W984" s="235"/>
      <c r="X984" s="235"/>
      <c r="Y984" s="235"/>
      <c r="Z984" s="235"/>
    </row>
    <row r="985">
      <c r="A985" s="235"/>
      <c r="B985" s="235"/>
      <c r="C985" s="342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35"/>
      <c r="W985" s="235"/>
      <c r="X985" s="235"/>
      <c r="Y985" s="235"/>
      <c r="Z985" s="235"/>
    </row>
    <row r="986">
      <c r="A986" s="235"/>
      <c r="B986" s="235"/>
      <c r="C986" s="342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35"/>
      <c r="W986" s="235"/>
      <c r="X986" s="235"/>
      <c r="Y986" s="235"/>
      <c r="Z986" s="235"/>
    </row>
    <row r="987">
      <c r="A987" s="235"/>
      <c r="B987" s="235"/>
      <c r="C987" s="342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35"/>
      <c r="W987" s="235"/>
      <c r="X987" s="235"/>
      <c r="Y987" s="235"/>
      <c r="Z987" s="235"/>
    </row>
    <row r="988">
      <c r="A988" s="235"/>
      <c r="B988" s="235"/>
      <c r="C988" s="342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35"/>
      <c r="W988" s="235"/>
      <c r="X988" s="235"/>
      <c r="Y988" s="235"/>
      <c r="Z988" s="235"/>
    </row>
    <row r="989">
      <c r="A989" s="235"/>
      <c r="B989" s="235"/>
      <c r="C989" s="342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35"/>
      <c r="W989" s="235"/>
      <c r="X989" s="235"/>
      <c r="Y989" s="235"/>
      <c r="Z989" s="235"/>
    </row>
    <row r="990">
      <c r="A990" s="235"/>
      <c r="B990" s="235"/>
      <c r="C990" s="342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35"/>
      <c r="W990" s="235"/>
      <c r="X990" s="235"/>
      <c r="Y990" s="235"/>
      <c r="Z990" s="235"/>
    </row>
    <row r="991">
      <c r="A991" s="235"/>
      <c r="B991" s="235"/>
      <c r="C991" s="342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35"/>
      <c r="W991" s="235"/>
      <c r="X991" s="235"/>
      <c r="Y991" s="235"/>
      <c r="Z991" s="235"/>
    </row>
    <row r="992">
      <c r="A992" s="235"/>
      <c r="B992" s="235"/>
      <c r="C992" s="342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35"/>
      <c r="W992" s="235"/>
      <c r="X992" s="235"/>
      <c r="Y992" s="235"/>
      <c r="Z992" s="235"/>
    </row>
    <row r="993">
      <c r="A993" s="235"/>
      <c r="B993" s="235"/>
      <c r="C993" s="342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35"/>
      <c r="W993" s="235"/>
      <c r="X993" s="235"/>
      <c r="Y993" s="235"/>
      <c r="Z993" s="235"/>
    </row>
    <row r="994">
      <c r="A994" s="235"/>
      <c r="B994" s="235"/>
      <c r="C994" s="342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35"/>
      <c r="W994" s="235"/>
      <c r="X994" s="235"/>
      <c r="Y994" s="235"/>
      <c r="Z994" s="235"/>
    </row>
    <row r="995">
      <c r="A995" s="235"/>
      <c r="B995" s="235"/>
      <c r="C995" s="342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35"/>
      <c r="W995" s="235"/>
      <c r="X995" s="235"/>
      <c r="Y995" s="235"/>
      <c r="Z995" s="235"/>
    </row>
    <row r="996">
      <c r="A996" s="235"/>
      <c r="B996" s="235"/>
      <c r="C996" s="342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35"/>
      <c r="W996" s="235"/>
      <c r="X996" s="235"/>
      <c r="Y996" s="235"/>
      <c r="Z996" s="235"/>
    </row>
    <row r="997">
      <c r="A997" s="235"/>
      <c r="B997" s="235"/>
      <c r="C997" s="342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35"/>
      <c r="W997" s="235"/>
      <c r="X997" s="235"/>
      <c r="Y997" s="235"/>
      <c r="Z997" s="235"/>
    </row>
    <row r="998">
      <c r="A998" s="235"/>
      <c r="B998" s="235"/>
      <c r="C998" s="342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35"/>
      <c r="W998" s="235"/>
      <c r="X998" s="235"/>
      <c r="Y998" s="235"/>
      <c r="Z998" s="235"/>
    </row>
    <row r="999">
      <c r="A999" s="235"/>
      <c r="B999" s="235"/>
      <c r="C999" s="342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35"/>
      <c r="W999" s="235"/>
      <c r="X999" s="235"/>
      <c r="Y999" s="235"/>
      <c r="Z999" s="235"/>
    </row>
    <row r="1000">
      <c r="A1000" s="235"/>
      <c r="B1000" s="235"/>
      <c r="C1000" s="342"/>
      <c r="D1000" s="235"/>
      <c r="E1000" s="235"/>
      <c r="F1000" s="235"/>
      <c r="G1000" s="235"/>
      <c r="H1000" s="235"/>
      <c r="I1000" s="235"/>
      <c r="J1000" s="235"/>
      <c r="K1000" s="235"/>
      <c r="L1000" s="235"/>
      <c r="M1000" s="235"/>
      <c r="N1000" s="235"/>
      <c r="O1000" s="235"/>
      <c r="P1000" s="235"/>
      <c r="Q1000" s="235"/>
      <c r="R1000" s="235"/>
      <c r="S1000" s="235"/>
      <c r="T1000" s="235"/>
      <c r="U1000" s="235"/>
      <c r="V1000" s="235"/>
      <c r="W1000" s="235"/>
      <c r="X1000" s="235"/>
      <c r="Y1000" s="235"/>
      <c r="Z1000" s="235"/>
    </row>
  </sheetData>
  <hyperlinks>
    <hyperlink r:id="rId1" ref="D18"/>
    <hyperlink r:id="rId2" ref="F26"/>
    <hyperlink r:id="rId3" ref="C30"/>
    <hyperlink r:id="rId4" ref="C34"/>
    <hyperlink r:id="rId5" ref="C35"/>
    <hyperlink r:id="rId6" ref="C38"/>
    <hyperlink r:id="rId7" ref="D38"/>
    <hyperlink r:id="rId8" ref="D39"/>
    <hyperlink r:id="rId9" ref="C40"/>
    <hyperlink r:id="rId10" ref="D41"/>
    <hyperlink r:id="rId11" ref="D45"/>
    <hyperlink r:id="rId12" ref="D58"/>
    <hyperlink r:id="rId13" ref="B66"/>
    <hyperlink r:id="rId14" ref="C75"/>
    <hyperlink r:id="rId15" ref="D75"/>
    <hyperlink r:id="rId16" ref="B77"/>
    <hyperlink r:id="rId17" ref="D82"/>
    <hyperlink r:id="rId18" ref="D83"/>
    <hyperlink r:id="rId19" ref="D84"/>
  </hyperlinks>
  <drawing r:id="rId20"/>
</worksheet>
</file>